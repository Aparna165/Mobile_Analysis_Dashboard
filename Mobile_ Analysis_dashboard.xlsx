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tudent\Desktop\"/>
    </mc:Choice>
  </mc:AlternateContent>
  <xr:revisionPtr revIDLastSave="0" documentId="8_{E245215A-3441-44F3-8D15-765D986C359E}" xr6:coauthVersionLast="47" xr6:coauthVersionMax="47" xr10:uidLastSave="{00000000-0000-0000-0000-000000000000}"/>
  <bookViews>
    <workbookView xWindow="-120" yWindow="-120" windowWidth="24240" windowHeight="13140" xr2:uid="{00000000-000D-0000-FFFF-FFFF00000000}"/>
  </bookViews>
  <sheets>
    <sheet name="Dashboard" sheetId="7" r:id="rId1"/>
    <sheet name="Sales Dashboard" sheetId="4" r:id="rId2"/>
    <sheet name="Product Insights" sheetId="5" r:id="rId3"/>
    <sheet name="Mobile Data" sheetId="1" r:id="rId4"/>
    <sheet name="Pivot chart" sheetId="2" r:id="rId5"/>
  </sheets>
  <definedNames>
    <definedName name="Slicer_5G_Support">#N/A</definedName>
    <definedName name="Slicer_Brand">#N/A</definedName>
    <definedName name="Slicer_Category1">#N/A</definedName>
    <definedName name="Slicer_Country1">#N/A</definedName>
    <definedName name="Slicer_Yea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6" i="2" l="1"/>
  <c r="C34" i="2"/>
  <c r="B46" i="2"/>
  <c r="M77" i="2"/>
  <c r="B79" i="2"/>
  <c r="B64" i="2"/>
</calcChain>
</file>

<file path=xl/sharedStrings.xml><?xml version="1.0" encoding="utf-8"?>
<sst xmlns="http://schemas.openxmlformats.org/spreadsheetml/2006/main" count="694" uniqueCount="83">
  <si>
    <t>Country</t>
  </si>
  <si>
    <t>Brand</t>
  </si>
  <si>
    <t>Model</t>
  </si>
  <si>
    <t>Price ($)</t>
  </si>
  <si>
    <t>Units Sold (Millions)</t>
  </si>
  <si>
    <t>Market Share (%)</t>
  </si>
  <si>
    <t>Category</t>
  </si>
  <si>
    <t>Year</t>
  </si>
  <si>
    <t>Launch Month</t>
  </si>
  <si>
    <t>5G Support</t>
  </si>
  <si>
    <t>Battery (mAh)</t>
  </si>
  <si>
    <t>Rating</t>
  </si>
  <si>
    <t>Discount (%)</t>
  </si>
  <si>
    <t>Online Sales (%)</t>
  </si>
  <si>
    <t>Offline Sales (%)</t>
  </si>
  <si>
    <t>Revenue ($M)</t>
  </si>
  <si>
    <t>France</t>
  </si>
  <si>
    <t>Vivo</t>
  </si>
  <si>
    <t>Model A</t>
  </si>
  <si>
    <t>Mid-range</t>
  </si>
  <si>
    <t>Feb</t>
  </si>
  <si>
    <t>No</t>
  </si>
  <si>
    <t>Google</t>
  </si>
  <si>
    <t>Model C</t>
  </si>
  <si>
    <t>Budget</t>
  </si>
  <si>
    <t>Yes</t>
  </si>
  <si>
    <t>Mexico</t>
  </si>
  <si>
    <t>Sony</t>
  </si>
  <si>
    <t>Model B</t>
  </si>
  <si>
    <t>Apr</t>
  </si>
  <si>
    <t>UK</t>
  </si>
  <si>
    <t>South Korea</t>
  </si>
  <si>
    <t>Huawei</t>
  </si>
  <si>
    <t>Premium</t>
  </si>
  <si>
    <t>Mar</t>
  </si>
  <si>
    <t>India</t>
  </si>
  <si>
    <t>Samsung</t>
  </si>
  <si>
    <t>May</t>
  </si>
  <si>
    <t>South Africa</t>
  </si>
  <si>
    <t>Motorola</t>
  </si>
  <si>
    <t>Model E</t>
  </si>
  <si>
    <t>Jan</t>
  </si>
  <si>
    <t>China</t>
  </si>
  <si>
    <t>Model D</t>
  </si>
  <si>
    <t>Italy</t>
  </si>
  <si>
    <t>Japan</t>
  </si>
  <si>
    <t>Indonesia</t>
  </si>
  <si>
    <t>Oppo</t>
  </si>
  <si>
    <t>Brazil</t>
  </si>
  <si>
    <t>Australia</t>
  </si>
  <si>
    <t>LG</t>
  </si>
  <si>
    <t>Spain</t>
  </si>
  <si>
    <t>Jun</t>
  </si>
  <si>
    <t>Russia</t>
  </si>
  <si>
    <t>Germany</t>
  </si>
  <si>
    <t>Canada</t>
  </si>
  <si>
    <t>Xiaomi</t>
  </si>
  <si>
    <t>UAE</t>
  </si>
  <si>
    <t>Apple</t>
  </si>
  <si>
    <t>USA</t>
  </si>
  <si>
    <t>Row Labels</t>
  </si>
  <si>
    <t>Grand Total</t>
  </si>
  <si>
    <t>Sum of Revenue ($M)</t>
  </si>
  <si>
    <t>Sum of Units Sold (Millions)</t>
  </si>
  <si>
    <t>Sum of Online Sales (%)</t>
  </si>
  <si>
    <t>Sum of Offline Sales (%)</t>
  </si>
  <si>
    <t>Revenue Trend by Year</t>
  </si>
  <si>
    <t>Revenue Share by Category</t>
  </si>
  <si>
    <t>Average Price by Brand</t>
  </si>
  <si>
    <t>Average of Rating</t>
  </si>
  <si>
    <t>Average Rating by Brand</t>
  </si>
  <si>
    <t>Count of Model</t>
  </si>
  <si>
    <t>5G vs Non-5G Model Count</t>
  </si>
  <si>
    <t>Average of Battery (mAh)</t>
  </si>
  <si>
    <t>Units Sold by Country</t>
  </si>
  <si>
    <t>Revenue by Brand</t>
  </si>
  <si>
    <t xml:space="preserve"> Online VS Offline Sales by Brand</t>
  </si>
  <si>
    <t>Battery Capacity by Category</t>
  </si>
  <si>
    <t xml:space="preserve">Average of Price </t>
  </si>
  <si>
    <t>Average of Price ($)</t>
  </si>
  <si>
    <t>Average price by category</t>
  </si>
  <si>
    <t xml:space="preserve"> Average rating by category</t>
  </si>
  <si>
    <t>Average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</si>
</sst>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4" x14ac:knownFonts="1">
    <font>
      <sz val="11"/>
      <color theme="1"/>
      <name val="Calibri"/>
      <family val="2"/>
      <scheme val="minor"/>
    </font>
    <font>
      <sz val="12"/>
      <color theme="1"/>
      <name val="Cambria"/>
      <family val="1"/>
      <scheme val="major"/>
    </font>
    <font>
      <sz val="12"/>
      <color theme="1"/>
      <name val="Aptos"/>
      <family val="1"/>
    </font>
    <font>
      <sz val="11"/>
      <color theme="1"/>
      <name val="Cambria"/>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1" fillId="0" borderId="0" xfId="0" applyFont="1"/>
    <xf numFmtId="2" fontId="0" fillId="0" borderId="0" xfId="0" applyNumberFormat="1"/>
    <xf numFmtId="0" fontId="2" fillId="0" borderId="0" xfId="0" applyFont="1"/>
    <xf numFmtId="0" fontId="3" fillId="0" borderId="0" xfId="0" applyFont="1"/>
    <xf numFmtId="4" fontId="0" fillId="0" borderId="0" xfId="0" applyNumberFormat="1"/>
    <xf numFmtId="164" fontId="0" fillId="0" borderId="0" xfId="0" applyNumberFormat="1"/>
    <xf numFmtId="10" fontId="0" fillId="0" borderId="0" xfId="0" applyNumberFormat="1"/>
    <xf numFmtId="1" fontId="0" fillId="0" borderId="0" xfId="0" applyNumberFormat="1"/>
    <xf numFmtId="3" fontId="0" fillId="0" borderId="0" xfId="0" applyNumberFormat="1"/>
  </cellXfs>
  <cellStyles count="1">
    <cellStyle name="Normal" xfId="0" builtinId="0"/>
  </cellStyles>
  <dxfs count="13">
    <dxf>
      <numFmt numFmtId="2" formatCode="0.00"/>
    </dxf>
    <dxf>
      <numFmt numFmtId="0" formatCode="General"/>
    </dxf>
    <dxf>
      <numFmt numFmtId="0" formatCode="General"/>
    </dxf>
    <dxf>
      <numFmt numFmtId="1" formatCode="0"/>
    </dxf>
    <dxf>
      <numFmt numFmtId="1" formatCode="0"/>
    </dxf>
    <dxf>
      <numFmt numFmtId="1" formatCode="0"/>
    </dxf>
    <dxf>
      <font>
        <b val="0"/>
        <i/>
        <name val="Calibri"/>
        <family val="2"/>
        <scheme val="minor"/>
      </font>
    </dxf>
    <dxf>
      <font>
        <b val="0"/>
        <i/>
        <name val="Calibri"/>
        <family val="2"/>
        <scheme val="minor"/>
      </font>
      <fill>
        <patternFill>
          <bgColor theme="0"/>
        </patternFill>
      </fill>
      <border>
        <left style="thin">
          <color auto="1"/>
        </left>
        <right style="thin">
          <color auto="1"/>
        </right>
        <top style="thin">
          <color auto="1"/>
        </top>
        <bottom style="thin">
          <color auto="1"/>
        </bottom>
      </border>
    </dxf>
    <dxf>
      <font>
        <b val="0"/>
        <i/>
        <name val="Calibri"/>
        <family val="2"/>
        <scheme val="minor"/>
      </font>
      <fill>
        <patternFill>
          <bgColor theme="3" tint="0.59996337778862885"/>
        </patternFill>
      </fill>
      <border>
        <left style="thin">
          <color auto="1"/>
        </left>
        <right style="thin">
          <color auto="1"/>
        </right>
        <top style="thin">
          <color auto="1"/>
        </top>
        <bottom style="thin">
          <color auto="1"/>
        </bottom>
        <vertical/>
        <horizontal style="thin">
          <color auto="1"/>
        </horizontal>
      </border>
    </dxf>
    <dxf>
      <font>
        <b val="0"/>
        <i/>
        <name val="Calibri"/>
        <family val="2"/>
        <scheme val="minor"/>
      </font>
      <fill>
        <patternFill>
          <bgColor theme="3" tint="0.59996337778862885"/>
        </patternFill>
      </fill>
    </dxf>
    <dxf>
      <font>
        <b val="0"/>
        <i/>
        <name val="Calibri"/>
        <family val="2"/>
        <scheme val="minor"/>
      </font>
    </dxf>
    <dxf>
      <font>
        <b/>
        <i val="0"/>
      </font>
    </dxf>
    <dxf>
      <font>
        <name val="Calibri"/>
        <family val="2"/>
        <scheme val="minor"/>
      </font>
    </dxf>
  </dxfs>
  <tableStyles count="7" defaultTableStyle="TableStyleMedium9" defaultPivotStyle="PivotStyleLight16">
    <tableStyle name="Slicer Style 1" pivot="0" table="0" count="1" xr9:uid="{FFDD68DD-062A-4D4A-B4DD-65ABCB4DD493}">
      <tableStyleElement type="wholeTable" dxfId="12"/>
    </tableStyle>
    <tableStyle name="Slicer Style 2" pivot="0" table="0" count="1" xr9:uid="{10040608-B342-48D8-B261-3F40C86C0D86}">
      <tableStyleElement type="wholeTable" dxfId="11"/>
    </tableStyle>
    <tableStyle name="Slicer Style 3" pivot="0" table="0" count="1" xr9:uid="{C5CDE830-7B62-4587-97C9-585A64A0EC61}">
      <tableStyleElement type="wholeTable" dxfId="10"/>
    </tableStyle>
    <tableStyle name="Slicer Style 4" pivot="0" table="0" count="1" xr9:uid="{72D06A01-9B8C-4F98-BECF-D68ED1FCADA5}">
      <tableStyleElement type="wholeTable" dxfId="9"/>
    </tableStyle>
    <tableStyle name="Slicer Style 5" pivot="0" table="0" count="1" xr9:uid="{2C36DF55-37B9-4E0A-ADF4-36965173D4EA}">
      <tableStyleElement type="wholeTable" dxfId="8"/>
    </tableStyle>
    <tableStyle name="Slicer Style 6" pivot="0" table="0" count="1" xr9:uid="{A5ECC347-2AAB-4089-A95F-98E205229DCB}">
      <tableStyleElement type="wholeTable" dxfId="7"/>
    </tableStyle>
    <tableStyle name="Slicer Style 7" pivot="0" table="0" count="1" xr9:uid="{17B38EEE-B011-4EA4-AD2A-80B5B7E17700}">
      <tableStyleElement type="wholeTable" dxfId="6"/>
    </tableStyle>
  </tableStyles>
  <colors>
    <mruColors>
      <color rgb="FF13180A"/>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chart!PivotTable2</c:name>
    <c:fmtId val="19"/>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43937935593104E-2"/>
          <c:y val="0.16126436781609196"/>
          <c:w val="0.86018287662495796"/>
          <c:h val="0.66012670829939357"/>
        </c:manualLayout>
      </c:layout>
      <c:barChart>
        <c:barDir val="col"/>
        <c:grouping val="clustered"/>
        <c:varyColors val="0"/>
        <c:ser>
          <c:idx val="0"/>
          <c:order val="0"/>
          <c:tx>
            <c:strRef>
              <c:f>'Pivot chart'!$B$17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chart'!$A$18:$A$36</c:f>
              <c:strCache>
                <c:ptCount val="18"/>
                <c:pt idx="0">
                  <c:v>Australia</c:v>
                </c:pt>
                <c:pt idx="1">
                  <c:v>Brazil</c:v>
                </c:pt>
                <c:pt idx="2">
                  <c:v>Canada</c:v>
                </c:pt>
                <c:pt idx="3">
                  <c:v>China</c:v>
                </c:pt>
                <c:pt idx="4">
                  <c:v>France</c:v>
                </c:pt>
                <c:pt idx="5">
                  <c:v>Germany</c:v>
                </c:pt>
                <c:pt idx="6">
                  <c:v>India</c:v>
                </c:pt>
                <c:pt idx="7">
                  <c:v>Indonesia</c:v>
                </c:pt>
                <c:pt idx="8">
                  <c:v>Italy</c:v>
                </c:pt>
                <c:pt idx="9">
                  <c:v>Japan</c:v>
                </c:pt>
                <c:pt idx="10">
                  <c:v>Mexico</c:v>
                </c:pt>
                <c:pt idx="11">
                  <c:v>Russia</c:v>
                </c:pt>
                <c:pt idx="12">
                  <c:v>South Africa</c:v>
                </c:pt>
                <c:pt idx="13">
                  <c:v>South Korea</c:v>
                </c:pt>
                <c:pt idx="14">
                  <c:v>Spain</c:v>
                </c:pt>
                <c:pt idx="15">
                  <c:v>UAE</c:v>
                </c:pt>
                <c:pt idx="16">
                  <c:v>UK</c:v>
                </c:pt>
                <c:pt idx="17">
                  <c:v>USA</c:v>
                </c:pt>
              </c:strCache>
            </c:strRef>
          </c:cat>
          <c:val>
            <c:numRef>
              <c:f>'Pivot chart'!$B$18:$B$36</c:f>
              <c:numCache>
                <c:formatCode>General</c:formatCode>
                <c:ptCount val="18"/>
                <c:pt idx="0">
                  <c:v>172</c:v>
                </c:pt>
                <c:pt idx="1">
                  <c:v>242</c:v>
                </c:pt>
                <c:pt idx="2">
                  <c:v>311</c:v>
                </c:pt>
                <c:pt idx="3">
                  <c:v>200</c:v>
                </c:pt>
                <c:pt idx="4">
                  <c:v>296</c:v>
                </c:pt>
                <c:pt idx="5">
                  <c:v>79</c:v>
                </c:pt>
                <c:pt idx="6">
                  <c:v>66</c:v>
                </c:pt>
                <c:pt idx="7">
                  <c:v>157</c:v>
                </c:pt>
                <c:pt idx="8">
                  <c:v>339</c:v>
                </c:pt>
                <c:pt idx="9">
                  <c:v>251</c:v>
                </c:pt>
                <c:pt idx="10">
                  <c:v>374</c:v>
                </c:pt>
                <c:pt idx="11">
                  <c:v>288</c:v>
                </c:pt>
                <c:pt idx="12">
                  <c:v>450</c:v>
                </c:pt>
                <c:pt idx="13">
                  <c:v>37</c:v>
                </c:pt>
                <c:pt idx="14">
                  <c:v>370</c:v>
                </c:pt>
                <c:pt idx="15">
                  <c:v>29</c:v>
                </c:pt>
                <c:pt idx="16">
                  <c:v>223</c:v>
                </c:pt>
                <c:pt idx="17">
                  <c:v>111</c:v>
                </c:pt>
              </c:numCache>
            </c:numRef>
          </c:val>
          <c:extLst>
            <c:ext xmlns:c16="http://schemas.microsoft.com/office/drawing/2014/chart" uri="{C3380CC4-5D6E-409C-BE32-E72D297353CC}">
              <c16:uniqueId val="{00000000-0A87-4327-B66B-FE6381CCA769}"/>
            </c:ext>
          </c:extLst>
        </c:ser>
        <c:dLbls>
          <c:showLegendKey val="0"/>
          <c:showVal val="0"/>
          <c:showCatName val="0"/>
          <c:showSerName val="0"/>
          <c:showPercent val="0"/>
          <c:showBubbleSize val="0"/>
        </c:dLbls>
        <c:gapWidth val="164"/>
        <c:overlap val="-22"/>
        <c:axId val="37385936"/>
        <c:axId val="37395536"/>
      </c:barChart>
      <c:catAx>
        <c:axId val="373859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5536"/>
        <c:crosses val="autoZero"/>
        <c:auto val="1"/>
        <c:lblAlgn val="ctr"/>
        <c:lblOffset val="100"/>
        <c:noMultiLvlLbl val="0"/>
      </c:catAx>
      <c:valAx>
        <c:axId val="3739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16008012468779"/>
          <c:y val="0.11777820340930856"/>
          <c:w val="0.69285535029995005"/>
          <c:h val="0.76933321119558973"/>
        </c:manualLayout>
      </c:layout>
      <c:barChart>
        <c:barDir val="bar"/>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chart'!$A$4:$A$14</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chart'!$B$4:$B$14</c:f>
              <c:numCache>
                <c:formatCode>General</c:formatCode>
                <c:ptCount val="10"/>
                <c:pt idx="0">
                  <c:v>192098</c:v>
                </c:pt>
                <c:pt idx="1">
                  <c:v>377212</c:v>
                </c:pt>
                <c:pt idx="2">
                  <c:v>179210</c:v>
                </c:pt>
                <c:pt idx="3">
                  <c:v>233044</c:v>
                </c:pt>
                <c:pt idx="4">
                  <c:v>200325</c:v>
                </c:pt>
                <c:pt idx="5">
                  <c:v>225743</c:v>
                </c:pt>
                <c:pt idx="6">
                  <c:v>386375</c:v>
                </c:pt>
                <c:pt idx="7">
                  <c:v>224078</c:v>
                </c:pt>
                <c:pt idx="8">
                  <c:v>360408</c:v>
                </c:pt>
                <c:pt idx="9">
                  <c:v>441164</c:v>
                </c:pt>
              </c:numCache>
            </c:numRef>
          </c:val>
          <c:extLst>
            <c:ext xmlns:c16="http://schemas.microsoft.com/office/drawing/2014/chart" uri="{C3380CC4-5D6E-409C-BE32-E72D297353CC}">
              <c16:uniqueId val="{00000000-CB9B-4E57-A503-E1EEE492CF17}"/>
            </c:ext>
          </c:extLst>
        </c:ser>
        <c:dLbls>
          <c:showLegendKey val="0"/>
          <c:showVal val="0"/>
          <c:showCatName val="0"/>
          <c:showSerName val="0"/>
          <c:showPercent val="0"/>
          <c:showBubbleSize val="0"/>
        </c:dLbls>
        <c:gapWidth val="219"/>
        <c:axId val="1207905840"/>
        <c:axId val="1207890480"/>
      </c:barChart>
      <c:catAx>
        <c:axId val="12079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90480"/>
        <c:crosses val="autoZero"/>
        <c:auto val="1"/>
        <c:lblAlgn val="ctr"/>
        <c:lblOffset val="100"/>
        <c:noMultiLvlLbl val="0"/>
      </c:catAx>
      <c:valAx>
        <c:axId val="120789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0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chart!PivotTable4</c:name>
    <c:fmtId val="1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29-46DD-BF49-796CF568002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29-46DD-BF49-796CF568002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29-46DD-BF49-796CF56800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chart'!$J$4:$J$7</c:f>
              <c:strCache>
                <c:ptCount val="3"/>
                <c:pt idx="0">
                  <c:v>Budget</c:v>
                </c:pt>
                <c:pt idx="1">
                  <c:v>Mid-range</c:v>
                </c:pt>
                <c:pt idx="2">
                  <c:v>Premium</c:v>
                </c:pt>
              </c:strCache>
            </c:strRef>
          </c:cat>
          <c:val>
            <c:numRef>
              <c:f>'Pivot chart'!$K$4:$K$7</c:f>
              <c:numCache>
                <c:formatCode>0.00%</c:formatCode>
                <c:ptCount val="3"/>
                <c:pt idx="0">
                  <c:v>0.38837808995916878</c:v>
                </c:pt>
                <c:pt idx="1">
                  <c:v>0.38382860042905925</c:v>
                </c:pt>
                <c:pt idx="2">
                  <c:v>0.22779330961177194</c:v>
                </c:pt>
              </c:numCache>
            </c:numRef>
          </c:val>
          <c:extLst>
            <c:ext xmlns:c16="http://schemas.microsoft.com/office/drawing/2014/chart" uri="{C3380CC4-5D6E-409C-BE32-E72D297353CC}">
              <c16:uniqueId val="{00000006-8329-46DD-BF49-796CF568002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chart'!$B$38</c:f>
              <c:strCache>
                <c:ptCount val="1"/>
                <c:pt idx="0">
                  <c:v>Total</c:v>
                </c:pt>
              </c:strCache>
            </c:strRef>
          </c:tx>
          <c:spPr>
            <a:ln w="28575" cap="rnd">
              <a:solidFill>
                <a:schemeClr val="accent1"/>
              </a:solidFill>
              <a:round/>
            </a:ln>
            <a:effectLst/>
          </c:spPr>
          <c:marker>
            <c:symbol val="none"/>
          </c:marker>
          <c:cat>
            <c:strRef>
              <c:f>'Pivot chart'!$A$39:$A$45</c:f>
              <c:strCache>
                <c:ptCount val="6"/>
                <c:pt idx="0">
                  <c:v>2020</c:v>
                </c:pt>
                <c:pt idx="1">
                  <c:v>2021</c:v>
                </c:pt>
                <c:pt idx="2">
                  <c:v>2022</c:v>
                </c:pt>
                <c:pt idx="3">
                  <c:v>2023</c:v>
                </c:pt>
                <c:pt idx="4">
                  <c:v>2024</c:v>
                </c:pt>
                <c:pt idx="5">
                  <c:v>2025</c:v>
                </c:pt>
              </c:strCache>
            </c:strRef>
          </c:cat>
          <c:val>
            <c:numRef>
              <c:f>'Pivot chart'!$B$39:$B$45</c:f>
              <c:numCache>
                <c:formatCode>General</c:formatCode>
                <c:ptCount val="6"/>
                <c:pt idx="0">
                  <c:v>337475</c:v>
                </c:pt>
                <c:pt idx="1">
                  <c:v>429385</c:v>
                </c:pt>
                <c:pt idx="2">
                  <c:v>534013</c:v>
                </c:pt>
                <c:pt idx="3">
                  <c:v>396535</c:v>
                </c:pt>
                <c:pt idx="4">
                  <c:v>539827</c:v>
                </c:pt>
                <c:pt idx="5">
                  <c:v>582422</c:v>
                </c:pt>
              </c:numCache>
            </c:numRef>
          </c:val>
          <c:smooth val="0"/>
          <c:extLst>
            <c:ext xmlns:c16="http://schemas.microsoft.com/office/drawing/2014/chart" uri="{C3380CC4-5D6E-409C-BE32-E72D297353CC}">
              <c16:uniqueId val="{00000000-0AF5-4281-93C6-18FDAC1D8A3B}"/>
            </c:ext>
          </c:extLst>
        </c:ser>
        <c:dLbls>
          <c:showLegendKey val="0"/>
          <c:showVal val="0"/>
          <c:showCatName val="0"/>
          <c:showSerName val="0"/>
          <c:showPercent val="0"/>
          <c:showBubbleSize val="0"/>
        </c:dLbls>
        <c:smooth val="0"/>
        <c:axId val="1207921200"/>
        <c:axId val="1207924080"/>
      </c:lineChart>
      <c:catAx>
        <c:axId val="12079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24080"/>
        <c:crosses val="autoZero"/>
        <c:auto val="1"/>
        <c:lblAlgn val="ctr"/>
        <c:lblOffset val="100"/>
        <c:noMultiLvlLbl val="0"/>
      </c:catAx>
      <c:valAx>
        <c:axId val="12079240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18665957013823"/>
          <c:y val="0.2253513209668353"/>
          <c:w val="0.68980839373209557"/>
          <c:h val="0.55346894875914543"/>
        </c:manualLayout>
      </c:layout>
      <c:barChart>
        <c:barDir val="bar"/>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chart'!$A$4:$A$14</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chart'!$B$4:$B$14</c:f>
              <c:numCache>
                <c:formatCode>General</c:formatCode>
                <c:ptCount val="10"/>
                <c:pt idx="0">
                  <c:v>192098</c:v>
                </c:pt>
                <c:pt idx="1">
                  <c:v>377212</c:v>
                </c:pt>
                <c:pt idx="2">
                  <c:v>179210</c:v>
                </c:pt>
                <c:pt idx="3">
                  <c:v>233044</c:v>
                </c:pt>
                <c:pt idx="4">
                  <c:v>200325</c:v>
                </c:pt>
                <c:pt idx="5">
                  <c:v>225743</c:v>
                </c:pt>
                <c:pt idx="6">
                  <c:v>386375</c:v>
                </c:pt>
                <c:pt idx="7">
                  <c:v>224078</c:v>
                </c:pt>
                <c:pt idx="8">
                  <c:v>360408</c:v>
                </c:pt>
                <c:pt idx="9">
                  <c:v>441164</c:v>
                </c:pt>
              </c:numCache>
            </c:numRef>
          </c:val>
          <c:extLst>
            <c:ext xmlns:c16="http://schemas.microsoft.com/office/drawing/2014/chart" uri="{C3380CC4-5D6E-409C-BE32-E72D297353CC}">
              <c16:uniqueId val="{00000000-4F39-49E9-8CDB-2591FE5E8918}"/>
            </c:ext>
          </c:extLst>
        </c:ser>
        <c:dLbls>
          <c:showLegendKey val="0"/>
          <c:showVal val="0"/>
          <c:showCatName val="0"/>
          <c:showSerName val="0"/>
          <c:showPercent val="0"/>
          <c:showBubbleSize val="0"/>
        </c:dLbls>
        <c:gapWidth val="219"/>
        <c:axId val="1207905840"/>
        <c:axId val="1207890480"/>
      </c:barChart>
      <c:catAx>
        <c:axId val="12079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90480"/>
        <c:crosses val="autoZero"/>
        <c:auto val="1"/>
        <c:lblAlgn val="ctr"/>
        <c:lblOffset val="100"/>
        <c:noMultiLvlLbl val="0"/>
      </c:catAx>
      <c:valAx>
        <c:axId val="120789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0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43937935593104E-2"/>
          <c:y val="0.16126436781609196"/>
          <c:w val="0.86018287662495796"/>
          <c:h val="0.66012670829939357"/>
        </c:manualLayout>
      </c:layout>
      <c:barChart>
        <c:barDir val="col"/>
        <c:grouping val="clustered"/>
        <c:varyColors val="0"/>
        <c:ser>
          <c:idx val="0"/>
          <c:order val="0"/>
          <c:tx>
            <c:strRef>
              <c:f>'Pivot chart'!$B$17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chart'!$A$18:$A$36</c:f>
              <c:strCache>
                <c:ptCount val="18"/>
                <c:pt idx="0">
                  <c:v>Australia</c:v>
                </c:pt>
                <c:pt idx="1">
                  <c:v>Brazil</c:v>
                </c:pt>
                <c:pt idx="2">
                  <c:v>Canada</c:v>
                </c:pt>
                <c:pt idx="3">
                  <c:v>China</c:v>
                </c:pt>
                <c:pt idx="4">
                  <c:v>France</c:v>
                </c:pt>
                <c:pt idx="5">
                  <c:v>Germany</c:v>
                </c:pt>
                <c:pt idx="6">
                  <c:v>India</c:v>
                </c:pt>
                <c:pt idx="7">
                  <c:v>Indonesia</c:v>
                </c:pt>
                <c:pt idx="8">
                  <c:v>Italy</c:v>
                </c:pt>
                <c:pt idx="9">
                  <c:v>Japan</c:v>
                </c:pt>
                <c:pt idx="10">
                  <c:v>Mexico</c:v>
                </c:pt>
                <c:pt idx="11">
                  <c:v>Russia</c:v>
                </c:pt>
                <c:pt idx="12">
                  <c:v>South Africa</c:v>
                </c:pt>
                <c:pt idx="13">
                  <c:v>South Korea</c:v>
                </c:pt>
                <c:pt idx="14">
                  <c:v>Spain</c:v>
                </c:pt>
                <c:pt idx="15">
                  <c:v>UAE</c:v>
                </c:pt>
                <c:pt idx="16">
                  <c:v>UK</c:v>
                </c:pt>
                <c:pt idx="17">
                  <c:v>USA</c:v>
                </c:pt>
              </c:strCache>
            </c:strRef>
          </c:cat>
          <c:val>
            <c:numRef>
              <c:f>'Pivot chart'!$B$18:$B$36</c:f>
              <c:numCache>
                <c:formatCode>General</c:formatCode>
                <c:ptCount val="18"/>
                <c:pt idx="0">
                  <c:v>172</c:v>
                </c:pt>
                <c:pt idx="1">
                  <c:v>242</c:v>
                </c:pt>
                <c:pt idx="2">
                  <c:v>311</c:v>
                </c:pt>
                <c:pt idx="3">
                  <c:v>200</c:v>
                </c:pt>
                <c:pt idx="4">
                  <c:v>296</c:v>
                </c:pt>
                <c:pt idx="5">
                  <c:v>79</c:v>
                </c:pt>
                <c:pt idx="6">
                  <c:v>66</c:v>
                </c:pt>
                <c:pt idx="7">
                  <c:v>157</c:v>
                </c:pt>
                <c:pt idx="8">
                  <c:v>339</c:v>
                </c:pt>
                <c:pt idx="9">
                  <c:v>251</c:v>
                </c:pt>
                <c:pt idx="10">
                  <c:v>374</c:v>
                </c:pt>
                <c:pt idx="11">
                  <c:v>288</c:v>
                </c:pt>
                <c:pt idx="12">
                  <c:v>450</c:v>
                </c:pt>
                <c:pt idx="13">
                  <c:v>37</c:v>
                </c:pt>
                <c:pt idx="14">
                  <c:v>370</c:v>
                </c:pt>
                <c:pt idx="15">
                  <c:v>29</c:v>
                </c:pt>
                <c:pt idx="16">
                  <c:v>223</c:v>
                </c:pt>
                <c:pt idx="17">
                  <c:v>111</c:v>
                </c:pt>
              </c:numCache>
            </c:numRef>
          </c:val>
          <c:extLst>
            <c:ext xmlns:c16="http://schemas.microsoft.com/office/drawing/2014/chart" uri="{C3380CC4-5D6E-409C-BE32-E72D297353CC}">
              <c16:uniqueId val="{00000000-019A-4DD0-81ED-ED83E593C9D7}"/>
            </c:ext>
          </c:extLst>
        </c:ser>
        <c:dLbls>
          <c:showLegendKey val="0"/>
          <c:showVal val="0"/>
          <c:showCatName val="0"/>
          <c:showSerName val="0"/>
          <c:showPercent val="0"/>
          <c:showBubbleSize val="0"/>
        </c:dLbls>
        <c:gapWidth val="164"/>
        <c:overlap val="-22"/>
        <c:axId val="37385936"/>
        <c:axId val="37395536"/>
      </c:barChart>
      <c:catAx>
        <c:axId val="373859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5536"/>
        <c:crosses val="autoZero"/>
        <c:auto val="1"/>
        <c:lblAlgn val="ctr"/>
        <c:lblOffset val="100"/>
        <c:noMultiLvlLbl val="0"/>
      </c:catAx>
      <c:valAx>
        <c:axId val="3739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64953282750197E-2"/>
          <c:y val="9.7315587347944391E-2"/>
          <c:w val="0.75655667082190514"/>
          <c:h val="0.75897075000160819"/>
        </c:manualLayout>
      </c:layout>
      <c:barChart>
        <c:barDir val="col"/>
        <c:grouping val="stacked"/>
        <c:varyColors val="0"/>
        <c:ser>
          <c:idx val="0"/>
          <c:order val="0"/>
          <c:tx>
            <c:strRef>
              <c:f>'Pivot chart'!$K$14</c:f>
              <c:strCache>
                <c:ptCount val="1"/>
                <c:pt idx="0">
                  <c:v>Sum of Online Sales (%)</c:v>
                </c:pt>
              </c:strCache>
            </c:strRef>
          </c:tx>
          <c:spPr>
            <a:solidFill>
              <a:schemeClr val="accent1"/>
            </a:solidFill>
            <a:ln>
              <a:noFill/>
            </a:ln>
            <a:effectLst/>
          </c:spPr>
          <c:invertIfNegative val="0"/>
          <c:cat>
            <c:strRef>
              <c:f>'Pivot chart'!$J$15:$J$25</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chart'!$K$15:$K$25</c:f>
              <c:numCache>
                <c:formatCode>General</c:formatCode>
                <c:ptCount val="10"/>
                <c:pt idx="0">
                  <c:v>348</c:v>
                </c:pt>
                <c:pt idx="1">
                  <c:v>747</c:v>
                </c:pt>
                <c:pt idx="2">
                  <c:v>421</c:v>
                </c:pt>
                <c:pt idx="3">
                  <c:v>633</c:v>
                </c:pt>
                <c:pt idx="4">
                  <c:v>409</c:v>
                </c:pt>
                <c:pt idx="5">
                  <c:v>462</c:v>
                </c:pt>
                <c:pt idx="6">
                  <c:v>683</c:v>
                </c:pt>
                <c:pt idx="7">
                  <c:v>503</c:v>
                </c:pt>
                <c:pt idx="8">
                  <c:v>570</c:v>
                </c:pt>
                <c:pt idx="9">
                  <c:v>618</c:v>
                </c:pt>
              </c:numCache>
            </c:numRef>
          </c:val>
          <c:extLst>
            <c:ext xmlns:c16="http://schemas.microsoft.com/office/drawing/2014/chart" uri="{C3380CC4-5D6E-409C-BE32-E72D297353CC}">
              <c16:uniqueId val="{00000000-E44E-4BE9-8F10-8D90B03F2CE1}"/>
            </c:ext>
          </c:extLst>
        </c:ser>
        <c:ser>
          <c:idx val="1"/>
          <c:order val="1"/>
          <c:tx>
            <c:strRef>
              <c:f>'Pivot chart'!$L$14</c:f>
              <c:strCache>
                <c:ptCount val="1"/>
                <c:pt idx="0">
                  <c:v>Sum of Offline Sales (%)</c:v>
                </c:pt>
              </c:strCache>
            </c:strRef>
          </c:tx>
          <c:spPr>
            <a:solidFill>
              <a:schemeClr val="accent2"/>
            </a:solidFill>
            <a:ln>
              <a:noFill/>
            </a:ln>
            <a:effectLst/>
          </c:spPr>
          <c:invertIfNegative val="0"/>
          <c:cat>
            <c:strRef>
              <c:f>'Pivot chart'!$J$15:$J$25</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chart'!$L$15:$L$25</c:f>
              <c:numCache>
                <c:formatCode>General</c:formatCode>
                <c:ptCount val="10"/>
                <c:pt idx="0">
                  <c:v>266</c:v>
                </c:pt>
                <c:pt idx="1">
                  <c:v>539</c:v>
                </c:pt>
                <c:pt idx="2">
                  <c:v>303</c:v>
                </c:pt>
                <c:pt idx="3">
                  <c:v>410</c:v>
                </c:pt>
                <c:pt idx="4">
                  <c:v>258</c:v>
                </c:pt>
                <c:pt idx="5">
                  <c:v>333</c:v>
                </c:pt>
                <c:pt idx="6">
                  <c:v>483</c:v>
                </c:pt>
                <c:pt idx="7">
                  <c:v>361</c:v>
                </c:pt>
                <c:pt idx="8">
                  <c:v>408</c:v>
                </c:pt>
                <c:pt idx="9">
                  <c:v>471</c:v>
                </c:pt>
              </c:numCache>
            </c:numRef>
          </c:val>
          <c:extLst>
            <c:ext xmlns:c16="http://schemas.microsoft.com/office/drawing/2014/chart" uri="{C3380CC4-5D6E-409C-BE32-E72D297353CC}">
              <c16:uniqueId val="{00000001-E44E-4BE9-8F10-8D90B03F2CE1}"/>
            </c:ext>
          </c:extLst>
        </c:ser>
        <c:dLbls>
          <c:showLegendKey val="0"/>
          <c:showVal val="0"/>
          <c:showCatName val="0"/>
          <c:showSerName val="0"/>
          <c:showPercent val="0"/>
          <c:showBubbleSize val="0"/>
        </c:dLbls>
        <c:gapWidth val="150"/>
        <c:overlap val="100"/>
        <c:axId val="1022033728"/>
        <c:axId val="1022030848"/>
      </c:barChart>
      <c:catAx>
        <c:axId val="10220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30848"/>
        <c:crosses val="autoZero"/>
        <c:auto val="1"/>
        <c:lblAlgn val="ctr"/>
        <c:lblOffset val="100"/>
        <c:noMultiLvlLbl val="0"/>
      </c:catAx>
      <c:valAx>
        <c:axId val="102203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3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chart'!$Q$32</c:f>
              <c:strCache>
                <c:ptCount val="1"/>
                <c:pt idx="0">
                  <c:v>Total</c:v>
                </c:pt>
              </c:strCache>
            </c:strRef>
          </c:tx>
          <c:spPr>
            <a:solidFill>
              <a:schemeClr val="accent1"/>
            </a:solidFill>
            <a:ln>
              <a:noFill/>
            </a:ln>
            <a:effectLst/>
          </c:spPr>
          <c:invertIfNegative val="0"/>
          <c:cat>
            <c:strRef>
              <c:f>'Pivot chart'!$P$33:$P$51</c:f>
              <c:strCache>
                <c:ptCount val="18"/>
                <c:pt idx="0">
                  <c:v>Spain</c:v>
                </c:pt>
                <c:pt idx="1">
                  <c:v>South Africa</c:v>
                </c:pt>
                <c:pt idx="2">
                  <c:v>Mexico</c:v>
                </c:pt>
                <c:pt idx="3">
                  <c:v>Russia</c:v>
                </c:pt>
                <c:pt idx="4">
                  <c:v>Canada</c:v>
                </c:pt>
                <c:pt idx="5">
                  <c:v>Italy</c:v>
                </c:pt>
                <c:pt idx="6">
                  <c:v>Japan</c:v>
                </c:pt>
                <c:pt idx="7">
                  <c:v>UK</c:v>
                </c:pt>
                <c:pt idx="8">
                  <c:v>France</c:v>
                </c:pt>
                <c:pt idx="9">
                  <c:v>Brazil</c:v>
                </c:pt>
                <c:pt idx="10">
                  <c:v>China</c:v>
                </c:pt>
                <c:pt idx="11">
                  <c:v>Indonesia</c:v>
                </c:pt>
                <c:pt idx="12">
                  <c:v>Australia</c:v>
                </c:pt>
                <c:pt idx="13">
                  <c:v>USA</c:v>
                </c:pt>
                <c:pt idx="14">
                  <c:v>India</c:v>
                </c:pt>
                <c:pt idx="15">
                  <c:v>Germany</c:v>
                </c:pt>
                <c:pt idx="16">
                  <c:v>South Korea</c:v>
                </c:pt>
                <c:pt idx="17">
                  <c:v>UAE</c:v>
                </c:pt>
              </c:strCache>
            </c:strRef>
          </c:cat>
          <c:val>
            <c:numRef>
              <c:f>'Pivot chart'!$Q$33:$Q$51</c:f>
              <c:numCache>
                <c:formatCode>#,##0</c:formatCode>
                <c:ptCount val="18"/>
                <c:pt idx="0">
                  <c:v>253644</c:v>
                </c:pt>
                <c:pt idx="1">
                  <c:v>251781</c:v>
                </c:pt>
                <c:pt idx="2">
                  <c:v>234614</c:v>
                </c:pt>
                <c:pt idx="3">
                  <c:v>231789</c:v>
                </c:pt>
                <c:pt idx="4">
                  <c:v>222448</c:v>
                </c:pt>
                <c:pt idx="5">
                  <c:v>219094</c:v>
                </c:pt>
                <c:pt idx="6">
                  <c:v>201789</c:v>
                </c:pt>
                <c:pt idx="7">
                  <c:v>194726</c:v>
                </c:pt>
                <c:pt idx="8">
                  <c:v>188303</c:v>
                </c:pt>
                <c:pt idx="9">
                  <c:v>162966</c:v>
                </c:pt>
                <c:pt idx="10">
                  <c:v>148242</c:v>
                </c:pt>
                <c:pt idx="11">
                  <c:v>121877</c:v>
                </c:pt>
                <c:pt idx="12">
                  <c:v>113358</c:v>
                </c:pt>
                <c:pt idx="13">
                  <c:v>94677</c:v>
                </c:pt>
                <c:pt idx="14">
                  <c:v>64548</c:v>
                </c:pt>
                <c:pt idx="15">
                  <c:v>62925</c:v>
                </c:pt>
                <c:pt idx="16">
                  <c:v>30599</c:v>
                </c:pt>
                <c:pt idx="17">
                  <c:v>22277</c:v>
                </c:pt>
              </c:numCache>
            </c:numRef>
          </c:val>
          <c:extLst>
            <c:ext xmlns:c16="http://schemas.microsoft.com/office/drawing/2014/chart" uri="{C3380CC4-5D6E-409C-BE32-E72D297353CC}">
              <c16:uniqueId val="{00000000-957C-4882-B80C-CB8746561DB2}"/>
            </c:ext>
          </c:extLst>
        </c:ser>
        <c:dLbls>
          <c:showLegendKey val="0"/>
          <c:showVal val="0"/>
          <c:showCatName val="0"/>
          <c:showSerName val="0"/>
          <c:showPercent val="0"/>
          <c:showBubbleSize val="0"/>
        </c:dLbls>
        <c:gapWidth val="182"/>
        <c:axId val="1489502224"/>
        <c:axId val="1489487824"/>
      </c:barChart>
      <c:catAx>
        <c:axId val="14895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487824"/>
        <c:crosses val="autoZero"/>
        <c:auto val="1"/>
        <c:lblAlgn val="ctr"/>
        <c:lblOffset val="100"/>
        <c:noMultiLvlLbl val="0"/>
      </c:catAx>
      <c:valAx>
        <c:axId val="1489487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0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flat" cmpd="sng" algn="ctr">
            <a:solidFill>
              <a:schemeClr val="accent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chart'!$B$100</c:f>
              <c:strCache>
                <c:ptCount val="1"/>
                <c:pt idx="0">
                  <c:v>Total</c:v>
                </c:pt>
              </c:strCache>
            </c:strRef>
          </c:tx>
          <c:spPr>
            <a:solidFill>
              <a:schemeClr val="accent1"/>
            </a:solidFill>
            <a:ln w="25400" cap="flat" cmpd="sng" algn="ctr">
              <a:solidFill>
                <a:schemeClr val="accent1"/>
              </a:solidFill>
              <a:prstDash val="solid"/>
            </a:ln>
            <a:effectLst/>
          </c:spPr>
          <c:invertIfNegative val="0"/>
          <c:cat>
            <c:strRef>
              <c:f>'Pivot chart'!$A$101:$A$103</c:f>
              <c:strCache>
                <c:ptCount val="3"/>
                <c:pt idx="0">
                  <c:v>Budget</c:v>
                </c:pt>
                <c:pt idx="1">
                  <c:v>Mid-range</c:v>
                </c:pt>
                <c:pt idx="2">
                  <c:v>Premium</c:v>
                </c:pt>
              </c:strCache>
            </c:strRef>
          </c:cat>
          <c:val>
            <c:numRef>
              <c:f>'Pivot chart'!$B$101:$B$103</c:f>
              <c:numCache>
                <c:formatCode>0.00</c:formatCode>
                <c:ptCount val="3"/>
                <c:pt idx="0">
                  <c:v>719.40625</c:v>
                </c:pt>
                <c:pt idx="1">
                  <c:v>651.05714285714282</c:v>
                </c:pt>
                <c:pt idx="2">
                  <c:v>694.43478260869563</c:v>
                </c:pt>
              </c:numCache>
            </c:numRef>
          </c:val>
          <c:extLst>
            <c:ext xmlns:c16="http://schemas.microsoft.com/office/drawing/2014/chart" uri="{C3380CC4-5D6E-409C-BE32-E72D297353CC}">
              <c16:uniqueId val="{00000002-5AE9-404C-842D-58465E933FAF}"/>
            </c:ext>
          </c:extLst>
        </c:ser>
        <c:dLbls>
          <c:showLegendKey val="0"/>
          <c:showVal val="0"/>
          <c:showCatName val="0"/>
          <c:showSerName val="0"/>
          <c:showPercent val="0"/>
          <c:showBubbleSize val="0"/>
        </c:dLbls>
        <c:gapWidth val="219"/>
        <c:overlap val="-27"/>
        <c:axId val="1983267056"/>
        <c:axId val="1983263696"/>
      </c:barChart>
      <c:catAx>
        <c:axId val="19832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63696"/>
        <c:crosses val="autoZero"/>
        <c:auto val="1"/>
        <c:lblAlgn val="ctr"/>
        <c:lblOffset val="100"/>
        <c:noMultiLvlLbl val="0"/>
      </c:catAx>
      <c:valAx>
        <c:axId val="19832636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6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1385677854098"/>
          <c:y val="0.19486111111111112"/>
          <c:w val="0.66793456004169693"/>
          <c:h val="0.69773950131233597"/>
        </c:manualLayout>
      </c:layout>
      <c:barChart>
        <c:barDir val="bar"/>
        <c:grouping val="clustered"/>
        <c:varyColors val="0"/>
        <c:ser>
          <c:idx val="0"/>
          <c:order val="0"/>
          <c:tx>
            <c:strRef>
              <c:f>'Pivot chart'!$B$116</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 chart'!$A$117:$A$120</c:f>
              <c:strCache>
                <c:ptCount val="3"/>
                <c:pt idx="0">
                  <c:v>Budget</c:v>
                </c:pt>
                <c:pt idx="1">
                  <c:v>Mid-range</c:v>
                </c:pt>
                <c:pt idx="2">
                  <c:v>Premium</c:v>
                </c:pt>
              </c:strCache>
            </c:strRef>
          </c:cat>
          <c:val>
            <c:numRef>
              <c:f>'Pivot chart'!$B$117:$B$120</c:f>
              <c:numCache>
                <c:formatCode>#,##0.00</c:formatCode>
                <c:ptCount val="3"/>
                <c:pt idx="0">
                  <c:v>4.2374999999999998</c:v>
                </c:pt>
                <c:pt idx="1">
                  <c:v>4.2457142857142873</c:v>
                </c:pt>
                <c:pt idx="2">
                  <c:v>4.1130434782608702</c:v>
                </c:pt>
              </c:numCache>
            </c:numRef>
          </c:val>
          <c:extLst>
            <c:ext xmlns:c16="http://schemas.microsoft.com/office/drawing/2014/chart" uri="{C3380CC4-5D6E-409C-BE32-E72D297353CC}">
              <c16:uniqueId val="{00000000-48D0-4B43-95BD-D1B2C9BF30E2}"/>
            </c:ext>
          </c:extLst>
        </c:ser>
        <c:dLbls>
          <c:showLegendKey val="0"/>
          <c:showVal val="0"/>
          <c:showCatName val="0"/>
          <c:showSerName val="0"/>
          <c:showPercent val="0"/>
          <c:showBubbleSize val="0"/>
        </c:dLbls>
        <c:gapWidth val="227"/>
        <c:overlap val="-48"/>
        <c:axId val="1641154384"/>
        <c:axId val="1641154864"/>
      </c:barChart>
      <c:catAx>
        <c:axId val="1641154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54864"/>
        <c:crosses val="autoZero"/>
        <c:auto val="1"/>
        <c:lblAlgn val="ctr"/>
        <c:lblOffset val="100"/>
        <c:noMultiLvlLbl val="0"/>
      </c:catAx>
      <c:valAx>
        <c:axId val="16411548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5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chart!PivotTable9</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chart'!$M$52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A83-44CE-A754-9F606CCA708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A83-44CE-A754-9F606CCA70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chart'!$L$53:$L$55</c:f>
              <c:strCache>
                <c:ptCount val="2"/>
                <c:pt idx="0">
                  <c:v>No</c:v>
                </c:pt>
                <c:pt idx="1">
                  <c:v>Yes</c:v>
                </c:pt>
              </c:strCache>
            </c:strRef>
          </c:cat>
          <c:val>
            <c:numRef>
              <c:f>'Pivot chart'!$M$53:$M$55</c:f>
              <c:numCache>
                <c:formatCode>General</c:formatCode>
                <c:ptCount val="2"/>
                <c:pt idx="0">
                  <c:v>42</c:v>
                </c:pt>
                <c:pt idx="1">
                  <c:v>48</c:v>
                </c:pt>
              </c:numCache>
            </c:numRef>
          </c:val>
          <c:extLst>
            <c:ext xmlns:c16="http://schemas.microsoft.com/office/drawing/2014/chart" uri="{C3380CC4-5D6E-409C-BE32-E72D297353CC}">
              <c16:uniqueId val="{00000004-9A83-44CE-A754-9F606CCA708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chart'!$M$72</c:f>
              <c:strCache>
                <c:ptCount val="1"/>
                <c:pt idx="0">
                  <c:v>Total</c:v>
                </c:pt>
              </c:strCache>
            </c:strRef>
          </c:tx>
          <c:spPr>
            <a:solidFill>
              <a:schemeClr val="accent1"/>
            </a:solidFill>
            <a:ln>
              <a:noFill/>
            </a:ln>
            <a:effectLst/>
          </c:spPr>
          <c:invertIfNegative val="0"/>
          <c:cat>
            <c:strRef>
              <c:f>'Pivot chart'!$L$73:$L$76</c:f>
              <c:strCache>
                <c:ptCount val="3"/>
                <c:pt idx="0">
                  <c:v>Budget</c:v>
                </c:pt>
                <c:pt idx="1">
                  <c:v>Mid-range</c:v>
                </c:pt>
                <c:pt idx="2">
                  <c:v>Premium</c:v>
                </c:pt>
              </c:strCache>
            </c:strRef>
          </c:cat>
          <c:val>
            <c:numRef>
              <c:f>'Pivot chart'!$M$73:$M$76</c:f>
              <c:numCache>
                <c:formatCode>General</c:formatCode>
                <c:ptCount val="3"/>
                <c:pt idx="0">
                  <c:v>4587</c:v>
                </c:pt>
                <c:pt idx="1">
                  <c:v>4412.0571428571429</c:v>
                </c:pt>
                <c:pt idx="2">
                  <c:v>4532.695652173913</c:v>
                </c:pt>
              </c:numCache>
            </c:numRef>
          </c:val>
          <c:extLst>
            <c:ext xmlns:c16="http://schemas.microsoft.com/office/drawing/2014/chart" uri="{C3380CC4-5D6E-409C-BE32-E72D297353CC}">
              <c16:uniqueId val="{00000000-36B6-40D9-B89A-893A10B76114}"/>
            </c:ext>
          </c:extLst>
        </c:ser>
        <c:dLbls>
          <c:showLegendKey val="0"/>
          <c:showVal val="0"/>
          <c:showCatName val="0"/>
          <c:showSerName val="0"/>
          <c:showPercent val="0"/>
          <c:showBubbleSize val="0"/>
        </c:dLbls>
        <c:gapWidth val="219"/>
        <c:overlap val="-27"/>
        <c:axId val="1747118448"/>
        <c:axId val="1747130448"/>
      </c:barChart>
      <c:catAx>
        <c:axId val="174711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30448"/>
        <c:crosses val="autoZero"/>
        <c:auto val="1"/>
        <c:lblAlgn val="ctr"/>
        <c:lblOffset val="100"/>
        <c:noMultiLvlLbl val="0"/>
      </c:catAx>
      <c:valAx>
        <c:axId val="174713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1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c:f>
              <c:strCache>
                <c:ptCount val="1"/>
                <c:pt idx="0">
                  <c:v>Total</c:v>
                </c:pt>
              </c:strCache>
            </c:strRef>
          </c:tx>
          <c:spPr>
            <a:solidFill>
              <a:schemeClr val="accent1"/>
            </a:solidFill>
            <a:ln>
              <a:noFill/>
            </a:ln>
            <a:effectLst/>
          </c:spPr>
          <c:invertIfNegative val="0"/>
          <c:cat>
            <c:strRef>
              <c:f>'Pivot chart'!$A$4:$A$14</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chart'!$B$4:$B$14</c:f>
              <c:numCache>
                <c:formatCode>General</c:formatCode>
                <c:ptCount val="10"/>
                <c:pt idx="0">
                  <c:v>192098</c:v>
                </c:pt>
                <c:pt idx="1">
                  <c:v>377212</c:v>
                </c:pt>
                <c:pt idx="2">
                  <c:v>179210</c:v>
                </c:pt>
                <c:pt idx="3">
                  <c:v>233044</c:v>
                </c:pt>
                <c:pt idx="4">
                  <c:v>200325</c:v>
                </c:pt>
                <c:pt idx="5">
                  <c:v>225743</c:v>
                </c:pt>
                <c:pt idx="6">
                  <c:v>386375</c:v>
                </c:pt>
                <c:pt idx="7">
                  <c:v>224078</c:v>
                </c:pt>
                <c:pt idx="8">
                  <c:v>360408</c:v>
                </c:pt>
                <c:pt idx="9">
                  <c:v>441164</c:v>
                </c:pt>
              </c:numCache>
            </c:numRef>
          </c:val>
          <c:extLst>
            <c:ext xmlns:c16="http://schemas.microsoft.com/office/drawing/2014/chart" uri="{C3380CC4-5D6E-409C-BE32-E72D297353CC}">
              <c16:uniqueId val="{00000000-4FB6-4314-9A37-D7D2B29901BD}"/>
            </c:ext>
          </c:extLst>
        </c:ser>
        <c:dLbls>
          <c:showLegendKey val="0"/>
          <c:showVal val="0"/>
          <c:showCatName val="0"/>
          <c:showSerName val="0"/>
          <c:showPercent val="0"/>
          <c:showBubbleSize val="0"/>
        </c:dLbls>
        <c:gapWidth val="219"/>
        <c:overlap val="-27"/>
        <c:axId val="1207905840"/>
        <c:axId val="1207890480"/>
      </c:barChart>
      <c:catAx>
        <c:axId val="12079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90480"/>
        <c:crosses val="autoZero"/>
        <c:auto val="1"/>
        <c:lblAlgn val="ctr"/>
        <c:lblOffset val="100"/>
        <c:noMultiLvlLbl val="0"/>
      </c:catAx>
      <c:valAx>
        <c:axId val="120789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0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chart'!$B$38</c:f>
              <c:strCache>
                <c:ptCount val="1"/>
                <c:pt idx="0">
                  <c:v>Total</c:v>
                </c:pt>
              </c:strCache>
            </c:strRef>
          </c:tx>
          <c:spPr>
            <a:ln w="28575" cap="rnd">
              <a:solidFill>
                <a:schemeClr val="accent1"/>
              </a:solidFill>
              <a:round/>
            </a:ln>
            <a:effectLst/>
          </c:spPr>
          <c:marker>
            <c:symbol val="none"/>
          </c:marker>
          <c:cat>
            <c:strRef>
              <c:f>'Pivot chart'!$A$39:$A$45</c:f>
              <c:strCache>
                <c:ptCount val="6"/>
                <c:pt idx="0">
                  <c:v>2020</c:v>
                </c:pt>
                <c:pt idx="1">
                  <c:v>2021</c:v>
                </c:pt>
                <c:pt idx="2">
                  <c:v>2022</c:v>
                </c:pt>
                <c:pt idx="3">
                  <c:v>2023</c:v>
                </c:pt>
                <c:pt idx="4">
                  <c:v>2024</c:v>
                </c:pt>
                <c:pt idx="5">
                  <c:v>2025</c:v>
                </c:pt>
              </c:strCache>
            </c:strRef>
          </c:cat>
          <c:val>
            <c:numRef>
              <c:f>'Pivot chart'!$B$39:$B$45</c:f>
              <c:numCache>
                <c:formatCode>General</c:formatCode>
                <c:ptCount val="6"/>
                <c:pt idx="0">
                  <c:v>337475</c:v>
                </c:pt>
                <c:pt idx="1">
                  <c:v>429385</c:v>
                </c:pt>
                <c:pt idx="2">
                  <c:v>534013</c:v>
                </c:pt>
                <c:pt idx="3">
                  <c:v>396535</c:v>
                </c:pt>
                <c:pt idx="4">
                  <c:v>539827</c:v>
                </c:pt>
                <c:pt idx="5">
                  <c:v>582422</c:v>
                </c:pt>
              </c:numCache>
            </c:numRef>
          </c:val>
          <c:smooth val="0"/>
          <c:extLst>
            <c:ext xmlns:c16="http://schemas.microsoft.com/office/drawing/2014/chart" uri="{C3380CC4-5D6E-409C-BE32-E72D297353CC}">
              <c16:uniqueId val="{00000000-9CBE-4247-AACD-45FFC84D2720}"/>
            </c:ext>
          </c:extLst>
        </c:ser>
        <c:dLbls>
          <c:showLegendKey val="0"/>
          <c:showVal val="0"/>
          <c:showCatName val="0"/>
          <c:showSerName val="0"/>
          <c:showPercent val="0"/>
          <c:showBubbleSize val="0"/>
        </c:dLbls>
        <c:smooth val="0"/>
        <c:axId val="1207921200"/>
        <c:axId val="1207924080"/>
      </c:lineChart>
      <c:catAx>
        <c:axId val="12079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24080"/>
        <c:crosses val="autoZero"/>
        <c:auto val="1"/>
        <c:lblAlgn val="ctr"/>
        <c:lblOffset val="100"/>
        <c:noMultiLvlLbl val="0"/>
      </c:catAx>
      <c:valAx>
        <c:axId val="12079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chart'!$K$3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7A-40AC-A60C-2ECF9690971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7A-40AC-A60C-2ECF9690971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7A-40AC-A60C-2ECF969097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chart'!$J$4:$J$7</c:f>
              <c:strCache>
                <c:ptCount val="3"/>
                <c:pt idx="0">
                  <c:v>Budget</c:v>
                </c:pt>
                <c:pt idx="1">
                  <c:v>Mid-range</c:v>
                </c:pt>
                <c:pt idx="2">
                  <c:v>Premium</c:v>
                </c:pt>
              </c:strCache>
            </c:strRef>
          </c:cat>
          <c:val>
            <c:numRef>
              <c:f>'Pivot chart'!$K$4:$K$7</c:f>
              <c:numCache>
                <c:formatCode>0.00%</c:formatCode>
                <c:ptCount val="3"/>
                <c:pt idx="0">
                  <c:v>0.38837808995916878</c:v>
                </c:pt>
                <c:pt idx="1">
                  <c:v>0.38382860042905925</c:v>
                </c:pt>
                <c:pt idx="2">
                  <c:v>0.22779330961177194</c:v>
                </c:pt>
              </c:numCache>
            </c:numRef>
          </c:val>
          <c:extLst>
            <c:ext xmlns:c16="http://schemas.microsoft.com/office/drawing/2014/chart" uri="{C3380CC4-5D6E-409C-BE32-E72D297353CC}">
              <c16:uniqueId val="{00000000-2A38-4BFE-BABC-44DEA2311E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chart'!$K$14</c:f>
              <c:strCache>
                <c:ptCount val="1"/>
                <c:pt idx="0">
                  <c:v>Sum of Online Sales (%)</c:v>
                </c:pt>
              </c:strCache>
            </c:strRef>
          </c:tx>
          <c:spPr>
            <a:solidFill>
              <a:schemeClr val="accent1"/>
            </a:solidFill>
            <a:ln>
              <a:noFill/>
            </a:ln>
            <a:effectLst/>
          </c:spPr>
          <c:invertIfNegative val="0"/>
          <c:cat>
            <c:strRef>
              <c:f>'Pivot chart'!$J$15:$J$25</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chart'!$K$15:$K$25</c:f>
              <c:numCache>
                <c:formatCode>General</c:formatCode>
                <c:ptCount val="10"/>
                <c:pt idx="0">
                  <c:v>348</c:v>
                </c:pt>
                <c:pt idx="1">
                  <c:v>747</c:v>
                </c:pt>
                <c:pt idx="2">
                  <c:v>421</c:v>
                </c:pt>
                <c:pt idx="3">
                  <c:v>633</c:v>
                </c:pt>
                <c:pt idx="4">
                  <c:v>409</c:v>
                </c:pt>
                <c:pt idx="5">
                  <c:v>462</c:v>
                </c:pt>
                <c:pt idx="6">
                  <c:v>683</c:v>
                </c:pt>
                <c:pt idx="7">
                  <c:v>503</c:v>
                </c:pt>
                <c:pt idx="8">
                  <c:v>570</c:v>
                </c:pt>
                <c:pt idx="9">
                  <c:v>618</c:v>
                </c:pt>
              </c:numCache>
            </c:numRef>
          </c:val>
          <c:extLst>
            <c:ext xmlns:c16="http://schemas.microsoft.com/office/drawing/2014/chart" uri="{C3380CC4-5D6E-409C-BE32-E72D297353CC}">
              <c16:uniqueId val="{00000000-E2D1-4447-94C6-D5B2680091BE}"/>
            </c:ext>
          </c:extLst>
        </c:ser>
        <c:ser>
          <c:idx val="1"/>
          <c:order val="1"/>
          <c:tx>
            <c:strRef>
              <c:f>'Pivot chart'!$L$14</c:f>
              <c:strCache>
                <c:ptCount val="1"/>
                <c:pt idx="0">
                  <c:v>Sum of Offline Sales (%)</c:v>
                </c:pt>
              </c:strCache>
            </c:strRef>
          </c:tx>
          <c:spPr>
            <a:solidFill>
              <a:schemeClr val="accent2"/>
            </a:solidFill>
            <a:ln>
              <a:noFill/>
            </a:ln>
            <a:effectLst/>
          </c:spPr>
          <c:invertIfNegative val="0"/>
          <c:cat>
            <c:strRef>
              <c:f>'Pivot chart'!$J$15:$J$25</c:f>
              <c:strCache>
                <c:ptCount val="10"/>
                <c:pt idx="0">
                  <c:v>Apple</c:v>
                </c:pt>
                <c:pt idx="1">
                  <c:v>Google</c:v>
                </c:pt>
                <c:pt idx="2">
                  <c:v>Huawei</c:v>
                </c:pt>
                <c:pt idx="3">
                  <c:v>LG</c:v>
                </c:pt>
                <c:pt idx="4">
                  <c:v>Motorola</c:v>
                </c:pt>
                <c:pt idx="5">
                  <c:v>Oppo</c:v>
                </c:pt>
                <c:pt idx="6">
                  <c:v>Samsung</c:v>
                </c:pt>
                <c:pt idx="7">
                  <c:v>Sony</c:v>
                </c:pt>
                <c:pt idx="8">
                  <c:v>Vivo</c:v>
                </c:pt>
                <c:pt idx="9">
                  <c:v>Xiaomi</c:v>
                </c:pt>
              </c:strCache>
            </c:strRef>
          </c:cat>
          <c:val>
            <c:numRef>
              <c:f>'Pivot chart'!$L$15:$L$25</c:f>
              <c:numCache>
                <c:formatCode>General</c:formatCode>
                <c:ptCount val="10"/>
                <c:pt idx="0">
                  <c:v>266</c:v>
                </c:pt>
                <c:pt idx="1">
                  <c:v>539</c:v>
                </c:pt>
                <c:pt idx="2">
                  <c:v>303</c:v>
                </c:pt>
                <c:pt idx="3">
                  <c:v>410</c:v>
                </c:pt>
                <c:pt idx="4">
                  <c:v>258</c:v>
                </c:pt>
                <c:pt idx="5">
                  <c:v>333</c:v>
                </c:pt>
                <c:pt idx="6">
                  <c:v>483</c:v>
                </c:pt>
                <c:pt idx="7">
                  <c:v>361</c:v>
                </c:pt>
                <c:pt idx="8">
                  <c:v>408</c:v>
                </c:pt>
                <c:pt idx="9">
                  <c:v>471</c:v>
                </c:pt>
              </c:numCache>
            </c:numRef>
          </c:val>
          <c:extLst>
            <c:ext xmlns:c16="http://schemas.microsoft.com/office/drawing/2014/chart" uri="{C3380CC4-5D6E-409C-BE32-E72D297353CC}">
              <c16:uniqueId val="{00000001-E2D1-4447-94C6-D5B2680091BE}"/>
            </c:ext>
          </c:extLst>
        </c:ser>
        <c:dLbls>
          <c:showLegendKey val="0"/>
          <c:showVal val="0"/>
          <c:showCatName val="0"/>
          <c:showSerName val="0"/>
          <c:showPercent val="0"/>
          <c:showBubbleSize val="0"/>
        </c:dLbls>
        <c:gapWidth val="150"/>
        <c:overlap val="100"/>
        <c:axId val="1022033728"/>
        <c:axId val="1022030848"/>
      </c:barChart>
      <c:catAx>
        <c:axId val="102203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30848"/>
        <c:crosses val="autoZero"/>
        <c:auto val="1"/>
        <c:lblAlgn val="ctr"/>
        <c:lblOffset val="100"/>
        <c:noMultiLvlLbl val="0"/>
      </c:catAx>
      <c:valAx>
        <c:axId val="102203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03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Apple</c:v>
              </c:pt>
              <c:pt idx="1">
                <c:v>Google</c:v>
              </c:pt>
              <c:pt idx="2">
                <c:v>Huawei</c:v>
              </c:pt>
              <c:pt idx="3">
                <c:v>LG</c:v>
              </c:pt>
              <c:pt idx="4">
                <c:v>Motorola</c:v>
              </c:pt>
              <c:pt idx="5">
                <c:v>Oppo</c:v>
              </c:pt>
              <c:pt idx="6">
                <c:v>Samsung</c:v>
              </c:pt>
              <c:pt idx="7">
                <c:v>Sony</c:v>
              </c:pt>
              <c:pt idx="8">
                <c:v>Vivo</c:v>
              </c:pt>
              <c:pt idx="9">
                <c:v>Xiaomi</c:v>
              </c:pt>
            </c:strLit>
          </c:cat>
          <c:val>
            <c:numLit>
              <c:formatCode>General</c:formatCode>
              <c:ptCount val="10"/>
              <c:pt idx="0">
                <c:v>871</c:v>
              </c:pt>
              <c:pt idx="1">
                <c:v>600</c:v>
              </c:pt>
              <c:pt idx="2">
                <c:v>528.42857142857144</c:v>
              </c:pt>
              <c:pt idx="3">
                <c:v>525.79999999999995</c:v>
              </c:pt>
              <c:pt idx="4">
                <c:v>673.28571428571433</c:v>
              </c:pt>
              <c:pt idx="5">
                <c:v>731.875</c:v>
              </c:pt>
              <c:pt idx="6">
                <c:v>701</c:v>
              </c:pt>
              <c:pt idx="7">
                <c:v>787.875</c:v>
              </c:pt>
              <c:pt idx="8">
                <c:v>707.9</c:v>
              </c:pt>
              <c:pt idx="9">
                <c:v>813.6</c:v>
              </c:pt>
            </c:numLit>
          </c:val>
          <c:extLst>
            <c:ext xmlns:c16="http://schemas.microsoft.com/office/drawing/2014/chart" uri="{C3380CC4-5D6E-409C-BE32-E72D297353CC}">
              <c16:uniqueId val="{00000000-2860-4A97-8013-FB771D7C3E66}"/>
            </c:ext>
          </c:extLst>
        </c:ser>
        <c:dLbls>
          <c:showLegendKey val="0"/>
          <c:showVal val="0"/>
          <c:showCatName val="0"/>
          <c:showSerName val="0"/>
          <c:showPercent val="0"/>
          <c:showBubbleSize val="0"/>
        </c:dLbls>
        <c:gapWidth val="219"/>
        <c:overlap val="-27"/>
        <c:axId val="1466761232"/>
        <c:axId val="1466751152"/>
      </c:barChart>
      <c:catAx>
        <c:axId val="146676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751152"/>
        <c:crosses val="autoZero"/>
        <c:auto val="1"/>
        <c:lblAlgn val="ctr"/>
        <c:lblOffset val="100"/>
        <c:noMultiLvlLbl val="0"/>
      </c:catAx>
      <c:valAx>
        <c:axId val="146675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76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Apple</c:v>
              </c:pt>
              <c:pt idx="1">
                <c:v>Google</c:v>
              </c:pt>
              <c:pt idx="2">
                <c:v>Huawei</c:v>
              </c:pt>
              <c:pt idx="3">
                <c:v>LG</c:v>
              </c:pt>
              <c:pt idx="4">
                <c:v>Motorola</c:v>
              </c:pt>
              <c:pt idx="5">
                <c:v>Oppo</c:v>
              </c:pt>
              <c:pt idx="6">
                <c:v>Samsung</c:v>
              </c:pt>
              <c:pt idx="7">
                <c:v>Sony</c:v>
              </c:pt>
              <c:pt idx="8">
                <c:v>Vivo</c:v>
              </c:pt>
              <c:pt idx="9">
                <c:v>Xiaomi</c:v>
              </c:pt>
            </c:strLit>
          </c:cat>
          <c:val>
            <c:numLit>
              <c:formatCode>General</c:formatCode>
              <c:ptCount val="10"/>
              <c:pt idx="0">
                <c:v>4.5166666666666666</c:v>
              </c:pt>
              <c:pt idx="1">
                <c:v>4.1307692307692312</c:v>
              </c:pt>
              <c:pt idx="2">
                <c:v>4.4142857142857146</c:v>
              </c:pt>
              <c:pt idx="3">
                <c:v>4.1500000000000004</c:v>
              </c:pt>
              <c:pt idx="4">
                <c:v>4.5428571428571427</c:v>
              </c:pt>
              <c:pt idx="5">
                <c:v>4.1124999999999998</c:v>
              </c:pt>
              <c:pt idx="6">
                <c:v>4.1272727272727279</c:v>
              </c:pt>
              <c:pt idx="7">
                <c:v>4.2874999999999996</c:v>
              </c:pt>
              <c:pt idx="8">
                <c:v>4.2</c:v>
              </c:pt>
              <c:pt idx="9">
                <c:v>3.9199999999999995</c:v>
              </c:pt>
            </c:numLit>
          </c:val>
          <c:extLst>
            <c:ext xmlns:c16="http://schemas.microsoft.com/office/drawing/2014/chart" uri="{C3380CC4-5D6E-409C-BE32-E72D297353CC}">
              <c16:uniqueId val="{00000000-A67C-4FBE-8574-A39BEA2A1B8D}"/>
            </c:ext>
          </c:extLst>
        </c:ser>
        <c:dLbls>
          <c:showLegendKey val="0"/>
          <c:showVal val="0"/>
          <c:showCatName val="0"/>
          <c:showSerName val="0"/>
          <c:showPercent val="0"/>
          <c:showBubbleSize val="0"/>
        </c:dLbls>
        <c:gapWidth val="182"/>
        <c:axId val="1466756432"/>
        <c:axId val="1466761712"/>
      </c:barChart>
      <c:catAx>
        <c:axId val="146675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761712"/>
        <c:crosses val="autoZero"/>
        <c:auto val="1"/>
        <c:lblAlgn val="ctr"/>
        <c:lblOffset val="100"/>
        <c:noMultiLvlLbl val="0"/>
      </c:catAx>
      <c:valAx>
        <c:axId val="146676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7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chart'!$B$17</c:f>
              <c:strCache>
                <c:ptCount val="1"/>
                <c:pt idx="0">
                  <c:v>Total</c:v>
                </c:pt>
              </c:strCache>
            </c:strRef>
          </c:tx>
          <c:spPr>
            <a:solidFill>
              <a:schemeClr val="accent1"/>
            </a:solidFill>
            <a:ln>
              <a:noFill/>
            </a:ln>
            <a:effectLst/>
          </c:spPr>
          <c:invertIfNegative val="0"/>
          <c:cat>
            <c:strRef>
              <c:f>'Pivot chart'!$A$18:$A$36</c:f>
              <c:strCache>
                <c:ptCount val="18"/>
                <c:pt idx="0">
                  <c:v>Australia</c:v>
                </c:pt>
                <c:pt idx="1">
                  <c:v>Brazil</c:v>
                </c:pt>
                <c:pt idx="2">
                  <c:v>Canada</c:v>
                </c:pt>
                <c:pt idx="3">
                  <c:v>China</c:v>
                </c:pt>
                <c:pt idx="4">
                  <c:v>France</c:v>
                </c:pt>
                <c:pt idx="5">
                  <c:v>Germany</c:v>
                </c:pt>
                <c:pt idx="6">
                  <c:v>India</c:v>
                </c:pt>
                <c:pt idx="7">
                  <c:v>Indonesia</c:v>
                </c:pt>
                <c:pt idx="8">
                  <c:v>Italy</c:v>
                </c:pt>
                <c:pt idx="9">
                  <c:v>Japan</c:v>
                </c:pt>
                <c:pt idx="10">
                  <c:v>Mexico</c:v>
                </c:pt>
                <c:pt idx="11">
                  <c:v>Russia</c:v>
                </c:pt>
                <c:pt idx="12">
                  <c:v>South Africa</c:v>
                </c:pt>
                <c:pt idx="13">
                  <c:v>South Korea</c:v>
                </c:pt>
                <c:pt idx="14">
                  <c:v>Spain</c:v>
                </c:pt>
                <c:pt idx="15">
                  <c:v>UAE</c:v>
                </c:pt>
                <c:pt idx="16">
                  <c:v>UK</c:v>
                </c:pt>
                <c:pt idx="17">
                  <c:v>USA</c:v>
                </c:pt>
              </c:strCache>
            </c:strRef>
          </c:cat>
          <c:val>
            <c:numRef>
              <c:f>'Pivot chart'!$B$18:$B$36</c:f>
              <c:numCache>
                <c:formatCode>General</c:formatCode>
                <c:ptCount val="18"/>
                <c:pt idx="0">
                  <c:v>172</c:v>
                </c:pt>
                <c:pt idx="1">
                  <c:v>242</c:v>
                </c:pt>
                <c:pt idx="2">
                  <c:v>311</c:v>
                </c:pt>
                <c:pt idx="3">
                  <c:v>200</c:v>
                </c:pt>
                <c:pt idx="4">
                  <c:v>296</c:v>
                </c:pt>
                <c:pt idx="5">
                  <c:v>79</c:v>
                </c:pt>
                <c:pt idx="6">
                  <c:v>66</c:v>
                </c:pt>
                <c:pt idx="7">
                  <c:v>157</c:v>
                </c:pt>
                <c:pt idx="8">
                  <c:v>339</c:v>
                </c:pt>
                <c:pt idx="9">
                  <c:v>251</c:v>
                </c:pt>
                <c:pt idx="10">
                  <c:v>374</c:v>
                </c:pt>
                <c:pt idx="11">
                  <c:v>288</c:v>
                </c:pt>
                <c:pt idx="12">
                  <c:v>450</c:v>
                </c:pt>
                <c:pt idx="13">
                  <c:v>37</c:v>
                </c:pt>
                <c:pt idx="14">
                  <c:v>370</c:v>
                </c:pt>
                <c:pt idx="15">
                  <c:v>29</c:v>
                </c:pt>
                <c:pt idx="16">
                  <c:v>223</c:v>
                </c:pt>
                <c:pt idx="17">
                  <c:v>111</c:v>
                </c:pt>
              </c:numCache>
            </c:numRef>
          </c:val>
          <c:extLst>
            <c:ext xmlns:c16="http://schemas.microsoft.com/office/drawing/2014/chart" uri="{C3380CC4-5D6E-409C-BE32-E72D297353CC}">
              <c16:uniqueId val="{00000000-7213-47D1-A746-5DDFFE2F1F7B}"/>
            </c:ext>
          </c:extLst>
        </c:ser>
        <c:dLbls>
          <c:showLegendKey val="0"/>
          <c:showVal val="0"/>
          <c:showCatName val="0"/>
          <c:showSerName val="0"/>
          <c:showPercent val="0"/>
          <c:showBubbleSize val="0"/>
        </c:dLbls>
        <c:gapWidth val="219"/>
        <c:overlap val="-27"/>
        <c:axId val="37385936"/>
        <c:axId val="37395536"/>
      </c:barChart>
      <c:catAx>
        <c:axId val="373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5536"/>
        <c:crosses val="autoZero"/>
        <c:auto val="1"/>
        <c:lblAlgn val="ctr"/>
        <c:lblOffset val="100"/>
        <c:noMultiLvlLbl val="0"/>
      </c:catAx>
      <c:valAx>
        <c:axId val="3739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chart'!$B$100</c:f>
              <c:strCache>
                <c:ptCount val="1"/>
                <c:pt idx="0">
                  <c:v>Total</c:v>
                </c:pt>
              </c:strCache>
            </c:strRef>
          </c:tx>
          <c:spPr>
            <a:solidFill>
              <a:schemeClr val="accent1"/>
            </a:solidFill>
            <a:ln>
              <a:noFill/>
            </a:ln>
            <a:effectLst/>
          </c:spPr>
          <c:invertIfNegative val="0"/>
          <c:cat>
            <c:strRef>
              <c:f>'Pivot chart'!$A$101:$A$103</c:f>
              <c:strCache>
                <c:ptCount val="3"/>
                <c:pt idx="0">
                  <c:v>Budget</c:v>
                </c:pt>
                <c:pt idx="1">
                  <c:v>Mid-range</c:v>
                </c:pt>
                <c:pt idx="2">
                  <c:v>Premium</c:v>
                </c:pt>
              </c:strCache>
            </c:strRef>
          </c:cat>
          <c:val>
            <c:numRef>
              <c:f>'Pivot chart'!$B$101:$B$103</c:f>
              <c:numCache>
                <c:formatCode>0.00</c:formatCode>
                <c:ptCount val="3"/>
                <c:pt idx="0">
                  <c:v>719.40625</c:v>
                </c:pt>
                <c:pt idx="1">
                  <c:v>651.05714285714282</c:v>
                </c:pt>
                <c:pt idx="2">
                  <c:v>694.43478260869563</c:v>
                </c:pt>
              </c:numCache>
            </c:numRef>
          </c:val>
          <c:extLst>
            <c:ext xmlns:c16="http://schemas.microsoft.com/office/drawing/2014/chart" uri="{C3380CC4-5D6E-409C-BE32-E72D297353CC}">
              <c16:uniqueId val="{00000001-ADB8-4A32-BF10-2C34E9FB9E18}"/>
            </c:ext>
          </c:extLst>
        </c:ser>
        <c:dLbls>
          <c:showLegendKey val="0"/>
          <c:showVal val="0"/>
          <c:showCatName val="0"/>
          <c:showSerName val="0"/>
          <c:showPercent val="0"/>
          <c:showBubbleSize val="0"/>
        </c:dLbls>
        <c:gapWidth val="219"/>
        <c:overlap val="-27"/>
        <c:axId val="1983267056"/>
        <c:axId val="1983263696"/>
      </c:barChart>
      <c:catAx>
        <c:axId val="19832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63696"/>
        <c:crosses val="autoZero"/>
        <c:auto val="1"/>
        <c:lblAlgn val="ctr"/>
        <c:lblOffset val="100"/>
        <c:noMultiLvlLbl val="0"/>
      </c:catAx>
      <c:valAx>
        <c:axId val="1983263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26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chart'!$B$116</c:f>
              <c:strCache>
                <c:ptCount val="1"/>
                <c:pt idx="0">
                  <c:v>Total</c:v>
                </c:pt>
              </c:strCache>
            </c:strRef>
          </c:tx>
          <c:spPr>
            <a:solidFill>
              <a:schemeClr val="accent1"/>
            </a:solidFill>
            <a:ln>
              <a:noFill/>
            </a:ln>
            <a:effectLst/>
          </c:spPr>
          <c:invertIfNegative val="0"/>
          <c:cat>
            <c:strRef>
              <c:f>'Pivot chart'!$A$117:$A$120</c:f>
              <c:strCache>
                <c:ptCount val="3"/>
                <c:pt idx="0">
                  <c:v>Budget</c:v>
                </c:pt>
                <c:pt idx="1">
                  <c:v>Mid-range</c:v>
                </c:pt>
                <c:pt idx="2">
                  <c:v>Premium</c:v>
                </c:pt>
              </c:strCache>
            </c:strRef>
          </c:cat>
          <c:val>
            <c:numRef>
              <c:f>'Pivot chart'!$B$117:$B$120</c:f>
              <c:numCache>
                <c:formatCode>#,##0.00</c:formatCode>
                <c:ptCount val="3"/>
                <c:pt idx="0">
                  <c:v>4.2374999999999998</c:v>
                </c:pt>
                <c:pt idx="1">
                  <c:v>4.2457142857142873</c:v>
                </c:pt>
                <c:pt idx="2">
                  <c:v>4.1130434782608702</c:v>
                </c:pt>
              </c:numCache>
            </c:numRef>
          </c:val>
          <c:extLst>
            <c:ext xmlns:c16="http://schemas.microsoft.com/office/drawing/2014/chart" uri="{C3380CC4-5D6E-409C-BE32-E72D297353CC}">
              <c16:uniqueId val="{00000000-525C-423E-9194-0A6222EA37C9}"/>
            </c:ext>
          </c:extLst>
        </c:ser>
        <c:dLbls>
          <c:showLegendKey val="0"/>
          <c:showVal val="0"/>
          <c:showCatName val="0"/>
          <c:showSerName val="0"/>
          <c:showPercent val="0"/>
          <c:showBubbleSize val="0"/>
        </c:dLbls>
        <c:gapWidth val="182"/>
        <c:axId val="1641154384"/>
        <c:axId val="1641154864"/>
      </c:barChart>
      <c:catAx>
        <c:axId val="164115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54864"/>
        <c:crosses val="autoZero"/>
        <c:auto val="1"/>
        <c:lblAlgn val="ctr"/>
        <c:lblOffset val="100"/>
        <c:noMultiLvlLbl val="0"/>
      </c:catAx>
      <c:valAx>
        <c:axId val="16411548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5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chart!PivotTable9</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chart'!$M$52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81-4232-9A0C-4D625CE337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81-4232-9A0C-4D625CE337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chart'!$L$53:$L$55</c:f>
              <c:strCache>
                <c:ptCount val="2"/>
                <c:pt idx="0">
                  <c:v>No</c:v>
                </c:pt>
                <c:pt idx="1">
                  <c:v>Yes</c:v>
                </c:pt>
              </c:strCache>
            </c:strRef>
          </c:cat>
          <c:val>
            <c:numRef>
              <c:f>'Pivot chart'!$M$53:$M$55</c:f>
              <c:numCache>
                <c:formatCode>General</c:formatCode>
                <c:ptCount val="2"/>
                <c:pt idx="0">
                  <c:v>42</c:v>
                </c:pt>
                <c:pt idx="1">
                  <c:v>48</c:v>
                </c:pt>
              </c:numCache>
            </c:numRef>
          </c:val>
          <c:extLst>
            <c:ext xmlns:c16="http://schemas.microsoft.com/office/drawing/2014/chart" uri="{C3380CC4-5D6E-409C-BE32-E72D297353CC}">
              <c16:uniqueId val="{00000000-1B3E-443E-8865-85BCED57B4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chart'!$M$72</c:f>
              <c:strCache>
                <c:ptCount val="1"/>
                <c:pt idx="0">
                  <c:v>Total</c:v>
                </c:pt>
              </c:strCache>
            </c:strRef>
          </c:tx>
          <c:spPr>
            <a:solidFill>
              <a:schemeClr val="accent1"/>
            </a:solidFill>
            <a:ln>
              <a:noFill/>
            </a:ln>
            <a:effectLst/>
          </c:spPr>
          <c:invertIfNegative val="0"/>
          <c:cat>
            <c:strRef>
              <c:f>'Pivot chart'!$L$73:$L$76</c:f>
              <c:strCache>
                <c:ptCount val="3"/>
                <c:pt idx="0">
                  <c:v>Budget</c:v>
                </c:pt>
                <c:pt idx="1">
                  <c:v>Mid-range</c:v>
                </c:pt>
                <c:pt idx="2">
                  <c:v>Premium</c:v>
                </c:pt>
              </c:strCache>
            </c:strRef>
          </c:cat>
          <c:val>
            <c:numRef>
              <c:f>'Pivot chart'!$M$73:$M$76</c:f>
              <c:numCache>
                <c:formatCode>General</c:formatCode>
                <c:ptCount val="3"/>
                <c:pt idx="0">
                  <c:v>4587</c:v>
                </c:pt>
                <c:pt idx="1">
                  <c:v>4412.0571428571429</c:v>
                </c:pt>
                <c:pt idx="2">
                  <c:v>4532.695652173913</c:v>
                </c:pt>
              </c:numCache>
            </c:numRef>
          </c:val>
          <c:extLst>
            <c:ext xmlns:c16="http://schemas.microsoft.com/office/drawing/2014/chart" uri="{C3380CC4-5D6E-409C-BE32-E72D297353CC}">
              <c16:uniqueId val="{00000000-774B-4B33-A774-E7C20A81057B}"/>
            </c:ext>
          </c:extLst>
        </c:ser>
        <c:dLbls>
          <c:showLegendKey val="0"/>
          <c:showVal val="0"/>
          <c:showCatName val="0"/>
          <c:showSerName val="0"/>
          <c:showPercent val="0"/>
          <c:showBubbleSize val="0"/>
        </c:dLbls>
        <c:gapWidth val="219"/>
        <c:overlap val="-27"/>
        <c:axId val="1747118448"/>
        <c:axId val="1747130448"/>
      </c:barChart>
      <c:catAx>
        <c:axId val="174711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30448"/>
        <c:crosses val="autoZero"/>
        <c:auto val="1"/>
        <c:lblAlgn val="ctr"/>
        <c:lblOffset val="100"/>
        <c:noMultiLvlLbl val="0"/>
      </c:catAx>
      <c:valAx>
        <c:axId val="174713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1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 Analysis_dashboard.xlsx]Pivot chart!PivotTable11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chart'!$Q$32</c:f>
              <c:strCache>
                <c:ptCount val="1"/>
                <c:pt idx="0">
                  <c:v>Total</c:v>
                </c:pt>
              </c:strCache>
            </c:strRef>
          </c:tx>
          <c:spPr>
            <a:solidFill>
              <a:schemeClr val="accent1"/>
            </a:solidFill>
            <a:ln>
              <a:noFill/>
            </a:ln>
            <a:effectLst/>
          </c:spPr>
          <c:invertIfNegative val="0"/>
          <c:cat>
            <c:strRef>
              <c:f>'Pivot chart'!$P$33:$P$51</c:f>
              <c:strCache>
                <c:ptCount val="18"/>
                <c:pt idx="0">
                  <c:v>Spain</c:v>
                </c:pt>
                <c:pt idx="1">
                  <c:v>South Africa</c:v>
                </c:pt>
                <c:pt idx="2">
                  <c:v>Mexico</c:v>
                </c:pt>
                <c:pt idx="3">
                  <c:v>Russia</c:v>
                </c:pt>
                <c:pt idx="4">
                  <c:v>Canada</c:v>
                </c:pt>
                <c:pt idx="5">
                  <c:v>Italy</c:v>
                </c:pt>
                <c:pt idx="6">
                  <c:v>Japan</c:v>
                </c:pt>
                <c:pt idx="7">
                  <c:v>UK</c:v>
                </c:pt>
                <c:pt idx="8">
                  <c:v>France</c:v>
                </c:pt>
                <c:pt idx="9">
                  <c:v>Brazil</c:v>
                </c:pt>
                <c:pt idx="10">
                  <c:v>China</c:v>
                </c:pt>
                <c:pt idx="11">
                  <c:v>Indonesia</c:v>
                </c:pt>
                <c:pt idx="12">
                  <c:v>Australia</c:v>
                </c:pt>
                <c:pt idx="13">
                  <c:v>USA</c:v>
                </c:pt>
                <c:pt idx="14">
                  <c:v>India</c:v>
                </c:pt>
                <c:pt idx="15">
                  <c:v>Germany</c:v>
                </c:pt>
                <c:pt idx="16">
                  <c:v>South Korea</c:v>
                </c:pt>
                <c:pt idx="17">
                  <c:v>UAE</c:v>
                </c:pt>
              </c:strCache>
            </c:strRef>
          </c:cat>
          <c:val>
            <c:numRef>
              <c:f>'Pivot chart'!$Q$33:$Q$51</c:f>
              <c:numCache>
                <c:formatCode>#,##0</c:formatCode>
                <c:ptCount val="18"/>
                <c:pt idx="0">
                  <c:v>253644</c:v>
                </c:pt>
                <c:pt idx="1">
                  <c:v>251781</c:v>
                </c:pt>
                <c:pt idx="2">
                  <c:v>234614</c:v>
                </c:pt>
                <c:pt idx="3">
                  <c:v>231789</c:v>
                </c:pt>
                <c:pt idx="4">
                  <c:v>222448</c:v>
                </c:pt>
                <c:pt idx="5">
                  <c:v>219094</c:v>
                </c:pt>
                <c:pt idx="6">
                  <c:v>201789</c:v>
                </c:pt>
                <c:pt idx="7">
                  <c:v>194726</c:v>
                </c:pt>
                <c:pt idx="8">
                  <c:v>188303</c:v>
                </c:pt>
                <c:pt idx="9">
                  <c:v>162966</c:v>
                </c:pt>
                <c:pt idx="10">
                  <c:v>148242</c:v>
                </c:pt>
                <c:pt idx="11">
                  <c:v>121877</c:v>
                </c:pt>
                <c:pt idx="12">
                  <c:v>113358</c:v>
                </c:pt>
                <c:pt idx="13">
                  <c:v>94677</c:v>
                </c:pt>
                <c:pt idx="14">
                  <c:v>64548</c:v>
                </c:pt>
                <c:pt idx="15">
                  <c:v>62925</c:v>
                </c:pt>
                <c:pt idx="16">
                  <c:v>30599</c:v>
                </c:pt>
                <c:pt idx="17">
                  <c:v>22277</c:v>
                </c:pt>
              </c:numCache>
            </c:numRef>
          </c:val>
          <c:extLst>
            <c:ext xmlns:c16="http://schemas.microsoft.com/office/drawing/2014/chart" uri="{C3380CC4-5D6E-409C-BE32-E72D297353CC}">
              <c16:uniqueId val="{00000000-B478-4B46-A394-4783DD4A5B2F}"/>
            </c:ext>
          </c:extLst>
        </c:ser>
        <c:dLbls>
          <c:showLegendKey val="0"/>
          <c:showVal val="0"/>
          <c:showCatName val="0"/>
          <c:showSerName val="0"/>
          <c:showPercent val="0"/>
          <c:showBubbleSize val="0"/>
        </c:dLbls>
        <c:gapWidth val="182"/>
        <c:axId val="1489502224"/>
        <c:axId val="1489487824"/>
      </c:barChart>
      <c:catAx>
        <c:axId val="14895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487824"/>
        <c:crosses val="autoZero"/>
        <c:auto val="1"/>
        <c:lblAlgn val="ctr"/>
        <c:lblOffset val="100"/>
        <c:noMultiLvlLbl val="0"/>
      </c:catAx>
      <c:valAx>
        <c:axId val="1489487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0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6</xdr:col>
      <xdr:colOff>63500</xdr:colOff>
      <xdr:row>2</xdr:row>
      <xdr:rowOff>127000</xdr:rowOff>
    </xdr:from>
    <xdr:to>
      <xdr:col>38</xdr:col>
      <xdr:colOff>12700</xdr:colOff>
      <xdr:row>76</xdr:row>
      <xdr:rowOff>12700</xdr:rowOff>
    </xdr:to>
    <xdr:sp macro="" textlink="'Pivot chart'!AN83">
      <xdr:nvSpPr>
        <xdr:cNvPr id="3" name="Rectangle 2">
          <a:extLst>
            <a:ext uri="{FF2B5EF4-FFF2-40B4-BE49-F238E27FC236}">
              <a16:creationId xmlns:a16="http://schemas.microsoft.com/office/drawing/2014/main" id="{1747E964-6FEE-4A80-9244-C845499E1C4A}"/>
            </a:ext>
          </a:extLst>
        </xdr:cNvPr>
        <xdr:cNvSpPr/>
      </xdr:nvSpPr>
      <xdr:spPr>
        <a:xfrm>
          <a:off x="3721100" y="482600"/>
          <a:ext cx="19456400" cy="13042900"/>
        </a:xfrm>
        <a:prstGeom prst="rect">
          <a:avLst/>
        </a:prstGeom>
        <a:solidFill>
          <a:schemeClr val="tx2">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476F780F-5E66-40B3-A1F7-6344D8F09214}"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6</xdr:col>
      <xdr:colOff>63501</xdr:colOff>
      <xdr:row>1</xdr:row>
      <xdr:rowOff>111125</xdr:rowOff>
    </xdr:from>
    <xdr:to>
      <xdr:col>38</xdr:col>
      <xdr:colOff>63500</xdr:colOff>
      <xdr:row>6</xdr:row>
      <xdr:rowOff>133350</xdr:rowOff>
    </xdr:to>
    <xdr:sp macro="" textlink="">
      <xdr:nvSpPr>
        <xdr:cNvPr id="4" name="Rectangle 3">
          <a:extLst>
            <a:ext uri="{FF2B5EF4-FFF2-40B4-BE49-F238E27FC236}">
              <a16:creationId xmlns:a16="http://schemas.microsoft.com/office/drawing/2014/main" id="{E9D59005-170F-481B-8F1E-B13D22805BC2}"/>
            </a:ext>
          </a:extLst>
        </xdr:cNvPr>
        <xdr:cNvSpPr/>
      </xdr:nvSpPr>
      <xdr:spPr>
        <a:xfrm>
          <a:off x="3683001" y="301625"/>
          <a:ext cx="19303999" cy="974725"/>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4" algn="l"/>
          <a:r>
            <a:rPr lang="en-IN" sz="4800" baseline="0">
              <a:solidFill>
                <a:schemeClr val="bg2"/>
              </a:solidFill>
              <a:latin typeface="Arial Black" panose="020B0A04020102020204" pitchFamily="34" charset="0"/>
            </a:rPr>
            <a:t>                   Mobile Analysis  Dashboard</a:t>
          </a:r>
          <a:endParaRPr lang="en-IN" sz="4800">
            <a:solidFill>
              <a:schemeClr val="bg2"/>
            </a:solidFill>
            <a:latin typeface="Arial Black" panose="020B0A04020102020204" pitchFamily="34" charset="0"/>
          </a:endParaRPr>
        </a:p>
      </xdr:txBody>
    </xdr:sp>
    <xdr:clientData/>
  </xdr:twoCellAnchor>
  <xdr:twoCellAnchor>
    <xdr:from>
      <xdr:col>6</xdr:col>
      <xdr:colOff>241300</xdr:colOff>
      <xdr:row>7</xdr:row>
      <xdr:rowOff>76200</xdr:rowOff>
    </xdr:from>
    <xdr:to>
      <xdr:col>12</xdr:col>
      <xdr:colOff>114300</xdr:colOff>
      <xdr:row>13</xdr:row>
      <xdr:rowOff>114300</xdr:rowOff>
    </xdr:to>
    <xdr:sp macro="" textlink="">
      <xdr:nvSpPr>
        <xdr:cNvPr id="5" name="Rectangle: Rounded Corners 4">
          <a:extLst>
            <a:ext uri="{FF2B5EF4-FFF2-40B4-BE49-F238E27FC236}">
              <a16:creationId xmlns:a16="http://schemas.microsoft.com/office/drawing/2014/main" id="{EB8EE189-39B9-4E6E-BDF7-E6A14AE66C1D}"/>
            </a:ext>
          </a:extLst>
        </xdr:cNvPr>
        <xdr:cNvSpPr/>
      </xdr:nvSpPr>
      <xdr:spPr>
        <a:xfrm>
          <a:off x="3898900" y="1320800"/>
          <a:ext cx="3530600" cy="1104900"/>
        </a:xfrm>
        <a:prstGeom prst="roundRect">
          <a:avLst>
            <a:gd name="adj" fmla="val 0"/>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lvl="1" algn="l"/>
          <a:r>
            <a:rPr lang="en-US" sz="1800">
              <a:latin typeface="+mj-lt"/>
            </a:rPr>
            <a:t>              </a:t>
          </a:r>
          <a:r>
            <a:rPr lang="en-US" sz="2400">
              <a:latin typeface="+mj-lt"/>
            </a:rPr>
            <a:t>2,819,657  </a:t>
          </a:r>
          <a:endParaRPr lang="en-US" sz="1800">
            <a:latin typeface="+mj-lt"/>
          </a:endParaRPr>
        </a:p>
      </xdr:txBody>
    </xdr:sp>
    <xdr:clientData/>
  </xdr:twoCellAnchor>
  <xdr:twoCellAnchor>
    <xdr:from>
      <xdr:col>6</xdr:col>
      <xdr:colOff>406400</xdr:colOff>
      <xdr:row>7</xdr:row>
      <xdr:rowOff>158750</xdr:rowOff>
    </xdr:from>
    <xdr:to>
      <xdr:col>12</xdr:col>
      <xdr:colOff>12700</xdr:colOff>
      <xdr:row>10</xdr:row>
      <xdr:rowOff>63500</xdr:rowOff>
    </xdr:to>
    <xdr:sp macro="" textlink="">
      <xdr:nvSpPr>
        <xdr:cNvPr id="6" name="Rectangle: Rounded Corners 5">
          <a:extLst>
            <a:ext uri="{FF2B5EF4-FFF2-40B4-BE49-F238E27FC236}">
              <a16:creationId xmlns:a16="http://schemas.microsoft.com/office/drawing/2014/main" id="{9F3BBB10-1763-44F7-86DC-7608DE1B154E}"/>
            </a:ext>
          </a:extLst>
        </xdr:cNvPr>
        <xdr:cNvSpPr/>
      </xdr:nvSpPr>
      <xdr:spPr>
        <a:xfrm>
          <a:off x="4064000" y="1403350"/>
          <a:ext cx="3263900" cy="438150"/>
        </a:xfrm>
        <a:prstGeom prst="roundRect">
          <a:avLst/>
        </a:prstGeom>
        <a:solidFill>
          <a:schemeClr val="bg1"/>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lvl="0" algn="ctr"/>
          <a:r>
            <a:rPr lang="en-IN" sz="2800" b="0" u="none" cap="none" spc="0">
              <a:ln w="0"/>
              <a:solidFill>
                <a:schemeClr val="tx1"/>
              </a:solidFill>
              <a:effectLst/>
              <a:latin typeface="+mj-lt"/>
            </a:rPr>
            <a:t>  Total Revenue   </a:t>
          </a:r>
          <a:endParaRPr lang="en-IN" sz="2400" b="0" u="none" cap="none" spc="0">
            <a:ln w="0"/>
            <a:solidFill>
              <a:schemeClr val="tx1"/>
            </a:solidFill>
            <a:effectLst/>
            <a:latin typeface="+mj-lt"/>
          </a:endParaRPr>
        </a:p>
      </xdr:txBody>
    </xdr:sp>
    <xdr:clientData/>
  </xdr:twoCellAnchor>
  <xdr:twoCellAnchor>
    <xdr:from>
      <xdr:col>13</xdr:col>
      <xdr:colOff>406400</xdr:colOff>
      <xdr:row>7</xdr:row>
      <xdr:rowOff>82549</xdr:rowOff>
    </xdr:from>
    <xdr:to>
      <xdr:col>19</xdr:col>
      <xdr:colOff>406400</xdr:colOff>
      <xdr:row>13</xdr:row>
      <xdr:rowOff>79374</xdr:rowOff>
    </xdr:to>
    <xdr:sp macro="" textlink="'Pivot chart'!AO38">
      <xdr:nvSpPr>
        <xdr:cNvPr id="8" name="Rectangle: Rounded Corners 7">
          <a:extLst>
            <a:ext uri="{FF2B5EF4-FFF2-40B4-BE49-F238E27FC236}">
              <a16:creationId xmlns:a16="http://schemas.microsoft.com/office/drawing/2014/main" id="{10959635-1523-45D0-975E-47CA50F424EC}"/>
            </a:ext>
          </a:extLst>
        </xdr:cNvPr>
        <xdr:cNvSpPr/>
      </xdr:nvSpPr>
      <xdr:spPr>
        <a:xfrm>
          <a:off x="8248650" y="1416049"/>
          <a:ext cx="3619500" cy="1139825"/>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mj-lt"/>
              <a:ea typeface="Calibri"/>
              <a:cs typeface="Calibri"/>
            </a:rPr>
            <a:t> </a:t>
          </a:r>
          <a:fld id="{CADC8E48-02B2-4069-8458-3DF49D6F4D9D}" type="TxLink">
            <a:rPr lang="en-US" sz="2400" b="0" i="0" u="none" strike="noStrike">
              <a:solidFill>
                <a:srgbClr val="000000"/>
              </a:solidFill>
              <a:latin typeface="+mj-lt"/>
              <a:ea typeface="Calibri"/>
              <a:cs typeface="Calibri"/>
            </a:rPr>
            <a:pPr algn="ctr"/>
            <a:t>3995</a:t>
          </a:fld>
          <a:r>
            <a:rPr lang="en-US" sz="2400" b="0" i="0" u="none" strike="noStrike">
              <a:solidFill>
                <a:srgbClr val="000000"/>
              </a:solidFill>
              <a:latin typeface="+mj-lt"/>
              <a:ea typeface="Calibri"/>
              <a:cs typeface="Calibri"/>
            </a:rPr>
            <a:t>7</a:t>
          </a:r>
          <a:endParaRPr lang="en-US" sz="2800">
            <a:latin typeface="+mj-lt"/>
          </a:endParaRPr>
        </a:p>
      </xdr:txBody>
    </xdr:sp>
    <xdr:clientData/>
  </xdr:twoCellAnchor>
  <xdr:twoCellAnchor>
    <xdr:from>
      <xdr:col>21</xdr:col>
      <xdr:colOff>317500</xdr:colOff>
      <xdr:row>7</xdr:row>
      <xdr:rowOff>47625</xdr:rowOff>
    </xdr:from>
    <xdr:to>
      <xdr:col>28</xdr:col>
      <xdr:colOff>50800</xdr:colOff>
      <xdr:row>13</xdr:row>
      <xdr:rowOff>127000</xdr:rowOff>
    </xdr:to>
    <xdr:sp macro="" textlink="">
      <xdr:nvSpPr>
        <xdr:cNvPr id="11" name="Rectangle: Rounded Corners 10">
          <a:extLst>
            <a:ext uri="{FF2B5EF4-FFF2-40B4-BE49-F238E27FC236}">
              <a16:creationId xmlns:a16="http://schemas.microsoft.com/office/drawing/2014/main" id="{FDEA08BA-8F5B-4825-9D76-D6448104FAAA}"/>
            </a:ext>
          </a:extLst>
        </xdr:cNvPr>
        <xdr:cNvSpPr/>
      </xdr:nvSpPr>
      <xdr:spPr>
        <a:xfrm>
          <a:off x="12985750" y="1381125"/>
          <a:ext cx="3956050" cy="1222375"/>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tx1"/>
              </a:solidFill>
              <a:latin typeface="+mj-lt"/>
            </a:rPr>
            <a:t>686.44  </a:t>
          </a:r>
        </a:p>
      </xdr:txBody>
    </xdr:sp>
    <xdr:clientData/>
  </xdr:twoCellAnchor>
  <xdr:twoCellAnchor>
    <xdr:from>
      <xdr:col>22</xdr:col>
      <xdr:colOff>19050</xdr:colOff>
      <xdr:row>7</xdr:row>
      <xdr:rowOff>114300</xdr:rowOff>
    </xdr:from>
    <xdr:to>
      <xdr:col>27</xdr:col>
      <xdr:colOff>552450</xdr:colOff>
      <xdr:row>10</xdr:row>
      <xdr:rowOff>76200</xdr:rowOff>
    </xdr:to>
    <xdr:sp macro="" textlink="">
      <xdr:nvSpPr>
        <xdr:cNvPr id="12" name="Rectangle: Rounded Corners 11">
          <a:extLst>
            <a:ext uri="{FF2B5EF4-FFF2-40B4-BE49-F238E27FC236}">
              <a16:creationId xmlns:a16="http://schemas.microsoft.com/office/drawing/2014/main" id="{50A57363-3464-487C-8BC4-A6C97DF3FEBE}"/>
            </a:ext>
          </a:extLst>
        </xdr:cNvPr>
        <xdr:cNvSpPr/>
      </xdr:nvSpPr>
      <xdr:spPr>
        <a:xfrm>
          <a:off x="13430250" y="1358900"/>
          <a:ext cx="3581400" cy="4953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a:solidFill>
                <a:schemeClr val="tx1"/>
              </a:solidFill>
              <a:latin typeface="+mj-lt"/>
            </a:rPr>
            <a:t>            </a:t>
          </a:r>
          <a:r>
            <a:rPr lang="en-IN" sz="2800">
              <a:solidFill>
                <a:schemeClr val="tx1"/>
              </a:solidFill>
              <a:latin typeface="+mj-lt"/>
            </a:rPr>
            <a:t>Average Price</a:t>
          </a:r>
          <a:endParaRPr lang="en-IN" sz="2400">
            <a:solidFill>
              <a:schemeClr val="tx1"/>
            </a:solidFill>
            <a:latin typeface="+mj-lt"/>
          </a:endParaRPr>
        </a:p>
      </xdr:txBody>
    </xdr:sp>
    <xdr:clientData/>
  </xdr:twoCellAnchor>
  <xdr:twoCellAnchor editAs="oneCell">
    <xdr:from>
      <xdr:col>29</xdr:col>
      <xdr:colOff>558800</xdr:colOff>
      <xdr:row>14</xdr:row>
      <xdr:rowOff>101600</xdr:rowOff>
    </xdr:from>
    <xdr:to>
      <xdr:col>37</xdr:col>
      <xdr:colOff>381000</xdr:colOff>
      <xdr:row>26</xdr:row>
      <xdr:rowOff>12700</xdr:rowOff>
    </xdr:to>
    <mc:AlternateContent xmlns:mc="http://schemas.openxmlformats.org/markup-compatibility/2006" xmlns:a14="http://schemas.microsoft.com/office/drawing/2010/main">
      <mc:Choice Requires="a14">
        <xdr:graphicFrame macro="">
          <xdr:nvGraphicFramePr>
            <xdr:cNvPr id="17" name="Year 4">
              <a:extLst>
                <a:ext uri="{FF2B5EF4-FFF2-40B4-BE49-F238E27FC236}">
                  <a16:creationId xmlns:a16="http://schemas.microsoft.com/office/drawing/2014/main" id="{44F2CB11-9299-4C0C-A2F2-3253DDE9F8B6}"/>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9485854" y="3008999"/>
              <a:ext cx="3193171" cy="1886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254001</xdr:colOff>
      <xdr:row>15</xdr:row>
      <xdr:rowOff>12700</xdr:rowOff>
    </xdr:from>
    <xdr:to>
      <xdr:col>16</xdr:col>
      <xdr:colOff>571501</xdr:colOff>
      <xdr:row>26</xdr:row>
      <xdr:rowOff>0</xdr:rowOff>
    </xdr:to>
    <mc:AlternateContent xmlns:mc="http://schemas.openxmlformats.org/markup-compatibility/2006" xmlns:a14="http://schemas.microsoft.com/office/drawing/2010/main">
      <mc:Choice Requires="a14">
        <xdr:graphicFrame macro="">
          <xdr:nvGraphicFramePr>
            <xdr:cNvPr id="18" name="Country 3">
              <a:extLst>
                <a:ext uri="{FF2B5EF4-FFF2-40B4-BE49-F238E27FC236}">
                  <a16:creationId xmlns:a16="http://schemas.microsoft.com/office/drawing/2014/main" id="{4DD947B2-D191-4B5C-ACBE-58D3D53AE51A}"/>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11601" y="2679700"/>
              <a:ext cx="64135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49997</xdr:colOff>
      <xdr:row>14</xdr:row>
      <xdr:rowOff>152400</xdr:rowOff>
    </xdr:from>
    <xdr:to>
      <xdr:col>23</xdr:col>
      <xdr:colOff>304800</xdr:colOff>
      <xdr:row>25</xdr:row>
      <xdr:rowOff>165100</xdr:rowOff>
    </xdr:to>
    <mc:AlternateContent xmlns:mc="http://schemas.openxmlformats.org/markup-compatibility/2006" xmlns:a14="http://schemas.microsoft.com/office/drawing/2010/main">
      <mc:Choice Requires="a14">
        <xdr:graphicFrame macro="">
          <xdr:nvGraphicFramePr>
            <xdr:cNvPr id="19" name="Brand 3">
              <a:extLst>
                <a:ext uri="{FF2B5EF4-FFF2-40B4-BE49-F238E27FC236}">
                  <a16:creationId xmlns:a16="http://schemas.microsoft.com/office/drawing/2014/main" id="{DF9F09E4-22D1-442E-9278-BC8C52E27992}"/>
                </a:ext>
              </a:extLst>
            </xdr:cNvPr>
            <xdr:cNvGraphicFramePr/>
          </xdr:nvGraphicFramePr>
          <xdr:xfrm>
            <a:off x="0" y="0"/>
            <a:ext cx="0" cy="0"/>
          </xdr:xfrm>
          <a:graphic>
            <a:graphicData uri="http://schemas.microsoft.com/office/drawing/2010/slicer">
              <sle:slicer xmlns:sle="http://schemas.microsoft.com/office/drawing/2010/slicer" name="Brand 3"/>
            </a:graphicData>
          </a:graphic>
        </xdr:graphicFrame>
      </mc:Choice>
      <mc:Fallback xmlns="">
        <xdr:sp macro="" textlink="">
          <xdr:nvSpPr>
            <xdr:cNvPr id="0" name=""/>
            <xdr:cNvSpPr>
              <a:spLocks noTextEdit="1"/>
            </xdr:cNvSpPr>
          </xdr:nvSpPr>
          <xdr:spPr>
            <a:xfrm>
              <a:off x="10507653" y="2930525"/>
              <a:ext cx="3945741" cy="198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584200</xdr:colOff>
      <xdr:row>14</xdr:row>
      <xdr:rowOff>133350</xdr:rowOff>
    </xdr:from>
    <xdr:to>
      <xdr:col>29</xdr:col>
      <xdr:colOff>435757</xdr:colOff>
      <xdr:row>25</xdr:row>
      <xdr:rowOff>165100</xdr:rowOff>
    </xdr:to>
    <mc:AlternateContent xmlns:mc="http://schemas.openxmlformats.org/markup-compatibility/2006" xmlns:a14="http://schemas.microsoft.com/office/drawing/2010/main">
      <mc:Choice Requires="a14">
        <xdr:graphicFrame macro="">
          <xdr:nvGraphicFramePr>
            <xdr:cNvPr id="20" name="Category 4">
              <a:extLst>
                <a:ext uri="{FF2B5EF4-FFF2-40B4-BE49-F238E27FC236}">
                  <a16:creationId xmlns:a16="http://schemas.microsoft.com/office/drawing/2014/main" id="{EDAA050E-0E29-4339-9A11-0B96EC1AE430}"/>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4605000" y="2622550"/>
              <a:ext cx="3509157" cy="198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165100</xdr:colOff>
      <xdr:row>27</xdr:row>
      <xdr:rowOff>85485</xdr:rowOff>
    </xdr:from>
    <xdr:to>
      <xdr:col>22</xdr:col>
      <xdr:colOff>12700</xdr:colOff>
      <xdr:row>30</xdr:row>
      <xdr:rowOff>127000</xdr:rowOff>
    </xdr:to>
    <xdr:sp macro="" textlink="">
      <xdr:nvSpPr>
        <xdr:cNvPr id="36" name="Rectangle: Rounded Corners 35">
          <a:extLst>
            <a:ext uri="{FF2B5EF4-FFF2-40B4-BE49-F238E27FC236}">
              <a16:creationId xmlns:a16="http://schemas.microsoft.com/office/drawing/2014/main" id="{4ABB85A1-444C-4A86-A9D2-FD8760B293F0}"/>
            </a:ext>
          </a:extLst>
        </xdr:cNvPr>
        <xdr:cNvSpPr/>
      </xdr:nvSpPr>
      <xdr:spPr>
        <a:xfrm>
          <a:off x="3822700" y="4886085"/>
          <a:ext cx="9601200" cy="5749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mj-lt"/>
            </a:rPr>
            <a:t>                                          </a:t>
          </a:r>
          <a:r>
            <a:rPr lang="en-IN" sz="3200">
              <a:solidFill>
                <a:schemeClr val="tx1"/>
              </a:solidFill>
              <a:latin typeface="+mj-lt"/>
            </a:rPr>
            <a:t>Revenue</a:t>
          </a:r>
          <a:r>
            <a:rPr lang="en-IN" sz="3200" baseline="0">
              <a:solidFill>
                <a:schemeClr val="tx1"/>
              </a:solidFill>
              <a:latin typeface="+mj-lt"/>
            </a:rPr>
            <a:t> Trend By year</a:t>
          </a:r>
          <a:endParaRPr lang="en-IN" sz="2400">
            <a:solidFill>
              <a:schemeClr val="tx1"/>
            </a:solidFill>
            <a:latin typeface="+mj-lt"/>
          </a:endParaRPr>
        </a:p>
      </xdr:txBody>
    </xdr:sp>
    <xdr:clientData/>
  </xdr:twoCellAnchor>
  <xdr:twoCellAnchor>
    <xdr:from>
      <xdr:col>23</xdr:col>
      <xdr:colOff>127000</xdr:colOff>
      <xdr:row>27</xdr:row>
      <xdr:rowOff>88900</xdr:rowOff>
    </xdr:from>
    <xdr:to>
      <xdr:col>37</xdr:col>
      <xdr:colOff>444500</xdr:colOff>
      <xdr:row>30</xdr:row>
      <xdr:rowOff>114300</xdr:rowOff>
    </xdr:to>
    <xdr:sp macro="" textlink="">
      <xdr:nvSpPr>
        <xdr:cNvPr id="38" name="Rectangle: Rounded Corners 37">
          <a:extLst>
            <a:ext uri="{FF2B5EF4-FFF2-40B4-BE49-F238E27FC236}">
              <a16:creationId xmlns:a16="http://schemas.microsoft.com/office/drawing/2014/main" id="{267AC0FC-82AA-4220-A917-677F3CF356F8}"/>
            </a:ext>
          </a:extLst>
        </xdr:cNvPr>
        <xdr:cNvSpPr/>
      </xdr:nvSpPr>
      <xdr:spPr>
        <a:xfrm>
          <a:off x="14147800" y="4889500"/>
          <a:ext cx="8851900" cy="5588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mj-lt"/>
            </a:rPr>
            <a:t>Revenue</a:t>
          </a:r>
          <a:r>
            <a:rPr lang="en-IN" sz="3200" baseline="0">
              <a:solidFill>
                <a:schemeClr val="tx1"/>
              </a:solidFill>
              <a:latin typeface="+mj-lt"/>
            </a:rPr>
            <a:t> Share By Category</a:t>
          </a:r>
          <a:endParaRPr lang="en-IN" sz="3200">
            <a:solidFill>
              <a:schemeClr val="tx1"/>
            </a:solidFill>
            <a:latin typeface="+mj-lt"/>
          </a:endParaRPr>
        </a:p>
      </xdr:txBody>
    </xdr:sp>
    <xdr:clientData/>
  </xdr:twoCellAnchor>
  <xdr:twoCellAnchor>
    <xdr:from>
      <xdr:col>6</xdr:col>
      <xdr:colOff>228600</xdr:colOff>
      <xdr:row>55</xdr:row>
      <xdr:rowOff>40965</xdr:rowOff>
    </xdr:from>
    <xdr:to>
      <xdr:col>22</xdr:col>
      <xdr:colOff>12700</xdr:colOff>
      <xdr:row>72</xdr:row>
      <xdr:rowOff>170657</xdr:rowOff>
    </xdr:to>
    <xdr:graphicFrame macro="">
      <xdr:nvGraphicFramePr>
        <xdr:cNvPr id="39" name="Chart 38">
          <a:extLst>
            <a:ext uri="{FF2B5EF4-FFF2-40B4-BE49-F238E27FC236}">
              <a16:creationId xmlns:a16="http://schemas.microsoft.com/office/drawing/2014/main" id="{E5275F67-527A-4734-AD49-448EABD1E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165100</xdr:colOff>
      <xdr:row>51</xdr:row>
      <xdr:rowOff>163479</xdr:rowOff>
    </xdr:from>
    <xdr:to>
      <xdr:col>22</xdr:col>
      <xdr:colOff>12699</xdr:colOff>
      <xdr:row>54</xdr:row>
      <xdr:rowOff>160053</xdr:rowOff>
    </xdr:to>
    <xdr:sp macro="" textlink="">
      <xdr:nvSpPr>
        <xdr:cNvPr id="41" name="Rectangle: Rounded Corners 40">
          <a:extLst>
            <a:ext uri="{FF2B5EF4-FFF2-40B4-BE49-F238E27FC236}">
              <a16:creationId xmlns:a16="http://schemas.microsoft.com/office/drawing/2014/main" id="{BE6CA7B6-F86E-43FF-AF68-E13C9B8781CA}"/>
            </a:ext>
          </a:extLst>
        </xdr:cNvPr>
        <xdr:cNvSpPr/>
      </xdr:nvSpPr>
      <xdr:spPr>
        <a:xfrm>
          <a:off x="3822700" y="9231279"/>
          <a:ext cx="9601199" cy="52997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mj-lt"/>
            </a:rPr>
            <a:t>Units</a:t>
          </a:r>
          <a:r>
            <a:rPr lang="en-IN" sz="3200" baseline="0">
              <a:solidFill>
                <a:schemeClr val="tx1"/>
              </a:solidFill>
              <a:latin typeface="+mj-lt"/>
            </a:rPr>
            <a:t> Sold By Country</a:t>
          </a:r>
          <a:endParaRPr lang="en-IN" sz="3200">
            <a:solidFill>
              <a:schemeClr val="tx1"/>
            </a:solidFill>
            <a:latin typeface="+mj-lt"/>
          </a:endParaRPr>
        </a:p>
      </xdr:txBody>
    </xdr:sp>
    <xdr:clientData/>
  </xdr:twoCellAnchor>
  <xdr:twoCellAnchor>
    <xdr:from>
      <xdr:col>23</xdr:col>
      <xdr:colOff>76200</xdr:colOff>
      <xdr:row>51</xdr:row>
      <xdr:rowOff>161131</xdr:rowOff>
    </xdr:from>
    <xdr:to>
      <xdr:col>37</xdr:col>
      <xdr:colOff>444500</xdr:colOff>
      <xdr:row>55</xdr:row>
      <xdr:rowOff>12700</xdr:rowOff>
    </xdr:to>
    <xdr:sp macro="" textlink="">
      <xdr:nvSpPr>
        <xdr:cNvPr id="45" name="Rectangle: Rounded Corners 44">
          <a:extLst>
            <a:ext uri="{FF2B5EF4-FFF2-40B4-BE49-F238E27FC236}">
              <a16:creationId xmlns:a16="http://schemas.microsoft.com/office/drawing/2014/main" id="{65EB95B2-4B1F-419A-927B-DEDF2E66A74F}"/>
            </a:ext>
          </a:extLst>
        </xdr:cNvPr>
        <xdr:cNvSpPr/>
      </xdr:nvSpPr>
      <xdr:spPr>
        <a:xfrm>
          <a:off x="14097000" y="9228931"/>
          <a:ext cx="8902700" cy="562769"/>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latin typeface="+mj-lt"/>
            </a:rPr>
            <a:t>                              </a:t>
          </a:r>
          <a:r>
            <a:rPr lang="en-IN" sz="3200">
              <a:solidFill>
                <a:schemeClr val="tx1"/>
              </a:solidFill>
              <a:latin typeface="+mj-lt"/>
            </a:rPr>
            <a:t>Revenue By Brand</a:t>
          </a:r>
        </a:p>
      </xdr:txBody>
    </xdr:sp>
    <xdr:clientData/>
  </xdr:twoCellAnchor>
  <xdr:twoCellAnchor>
    <xdr:from>
      <xdr:col>23</xdr:col>
      <xdr:colOff>88900</xdr:colOff>
      <xdr:row>55</xdr:row>
      <xdr:rowOff>58738</xdr:rowOff>
    </xdr:from>
    <xdr:to>
      <xdr:col>37</xdr:col>
      <xdr:colOff>444500</xdr:colOff>
      <xdr:row>73</xdr:row>
      <xdr:rowOff>63500</xdr:rowOff>
    </xdr:to>
    <xdr:graphicFrame macro="">
      <xdr:nvGraphicFramePr>
        <xdr:cNvPr id="24" name="Chart 23">
          <a:extLst>
            <a:ext uri="{FF2B5EF4-FFF2-40B4-BE49-F238E27FC236}">
              <a16:creationId xmlns:a16="http://schemas.microsoft.com/office/drawing/2014/main" id="{D1DBA3BB-AAEB-4DAE-8F3A-6A67EC1A8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77029</xdr:colOff>
      <xdr:row>54</xdr:row>
      <xdr:rowOff>7144</xdr:rowOff>
    </xdr:from>
    <xdr:to>
      <xdr:col>29</xdr:col>
      <xdr:colOff>142127</xdr:colOff>
      <xdr:row>58</xdr:row>
      <xdr:rowOff>92561</xdr:rowOff>
    </xdr:to>
    <xdr:pic>
      <xdr:nvPicPr>
        <xdr:cNvPr id="25" name="Picture 24">
          <a:extLst>
            <a:ext uri="{FF2B5EF4-FFF2-40B4-BE49-F238E27FC236}">
              <a16:creationId xmlns:a16="http://schemas.microsoft.com/office/drawing/2014/main" id="{B4D67344-3AFE-87C6-BCDC-7EA43F87061E}"/>
            </a:ext>
          </a:extLst>
        </xdr:cNvPr>
        <xdr:cNvPicPr>
          <a:picLocks noChangeAspect="1"/>
        </xdr:cNvPicPr>
      </xdr:nvPicPr>
      <xdr:blipFill>
        <a:blip xmlns:r="http://schemas.openxmlformats.org/officeDocument/2006/relationships" r:embed="rId3"/>
        <a:stretch>
          <a:fillRect/>
        </a:stretch>
      </xdr:blipFill>
      <xdr:spPr>
        <a:xfrm>
          <a:off x="14316904" y="10294144"/>
          <a:ext cx="3779848" cy="847417"/>
        </a:xfrm>
        <a:prstGeom prst="rect">
          <a:avLst/>
        </a:prstGeom>
      </xdr:spPr>
    </xdr:pic>
    <xdr:clientData/>
  </xdr:twoCellAnchor>
  <xdr:twoCellAnchor>
    <xdr:from>
      <xdr:col>23</xdr:col>
      <xdr:colOff>152400</xdr:colOff>
      <xdr:row>30</xdr:row>
      <xdr:rowOff>130175</xdr:rowOff>
    </xdr:from>
    <xdr:to>
      <xdr:col>37</xdr:col>
      <xdr:colOff>431800</xdr:colOff>
      <xdr:row>50</xdr:row>
      <xdr:rowOff>101600</xdr:rowOff>
    </xdr:to>
    <xdr:graphicFrame macro="">
      <xdr:nvGraphicFramePr>
        <xdr:cNvPr id="26" name="Chart 25">
          <a:extLst>
            <a:ext uri="{FF2B5EF4-FFF2-40B4-BE49-F238E27FC236}">
              <a16:creationId xmlns:a16="http://schemas.microsoft.com/office/drawing/2014/main" id="{51FC650A-2DF9-4CD0-A55E-AFB3D9289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177800</xdr:colOff>
      <xdr:row>30</xdr:row>
      <xdr:rowOff>153987</xdr:rowOff>
    </xdr:from>
    <xdr:to>
      <xdr:col>21</xdr:col>
      <xdr:colOff>587714</xdr:colOff>
      <xdr:row>50</xdr:row>
      <xdr:rowOff>89136</xdr:rowOff>
    </xdr:to>
    <xdr:graphicFrame macro="">
      <xdr:nvGraphicFramePr>
        <xdr:cNvPr id="27" name="Chart 26">
          <a:extLst>
            <a:ext uri="{FF2B5EF4-FFF2-40B4-BE49-F238E27FC236}">
              <a16:creationId xmlns:a16="http://schemas.microsoft.com/office/drawing/2014/main" id="{D9F28F1D-B4D4-48C2-8F42-6DC46117F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12700</xdr:colOff>
      <xdr:row>7</xdr:row>
      <xdr:rowOff>171450</xdr:rowOff>
    </xdr:from>
    <xdr:to>
      <xdr:col>19</xdr:col>
      <xdr:colOff>228600</xdr:colOff>
      <xdr:row>10</xdr:row>
      <xdr:rowOff>76200</xdr:rowOff>
    </xdr:to>
    <xdr:sp macro="" textlink="">
      <xdr:nvSpPr>
        <xdr:cNvPr id="34" name="Rectangle: Rounded Corners 33">
          <a:extLst>
            <a:ext uri="{FF2B5EF4-FFF2-40B4-BE49-F238E27FC236}">
              <a16:creationId xmlns:a16="http://schemas.microsoft.com/office/drawing/2014/main" id="{9461DC47-7139-494A-BB02-84F39B05345E}"/>
            </a:ext>
          </a:extLst>
        </xdr:cNvPr>
        <xdr:cNvSpPr/>
      </xdr:nvSpPr>
      <xdr:spPr>
        <a:xfrm>
          <a:off x="8547100" y="1416050"/>
          <a:ext cx="3263900" cy="438150"/>
        </a:xfrm>
        <a:prstGeom prst="roundRect">
          <a:avLst/>
        </a:prstGeom>
        <a:solidFill>
          <a:schemeClr val="bg1"/>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lvl="0" algn="ctr"/>
          <a:r>
            <a:rPr lang="en-IN" sz="2800" b="0" u="none" cap="none" spc="0">
              <a:ln w="0"/>
              <a:solidFill>
                <a:schemeClr val="tx1"/>
              </a:solidFill>
              <a:effectLst/>
              <a:latin typeface="+mj-lt"/>
            </a:rPr>
            <a:t>  Total Units   </a:t>
          </a:r>
          <a:endParaRPr lang="en-IN" sz="2400" b="0" u="none" cap="none" spc="0">
            <a:ln w="0"/>
            <a:solidFill>
              <a:schemeClr val="tx1"/>
            </a:solidFill>
            <a:effectLst/>
            <a:latin typeface="+mj-lt"/>
          </a:endParaRPr>
        </a:p>
      </xdr:txBody>
    </xdr:sp>
    <xdr:clientData/>
  </xdr:twoCellAnchor>
  <xdr:twoCellAnchor>
    <xdr:from>
      <xdr:col>30</xdr:col>
      <xdr:colOff>50800</xdr:colOff>
      <xdr:row>7</xdr:row>
      <xdr:rowOff>63500</xdr:rowOff>
    </xdr:from>
    <xdr:to>
      <xdr:col>36</xdr:col>
      <xdr:colOff>546100</xdr:colOff>
      <xdr:row>13</xdr:row>
      <xdr:rowOff>82550</xdr:rowOff>
    </xdr:to>
    <xdr:sp macro="" textlink="">
      <xdr:nvSpPr>
        <xdr:cNvPr id="35" name="Rectangle: Rounded Corners 34">
          <a:extLst>
            <a:ext uri="{FF2B5EF4-FFF2-40B4-BE49-F238E27FC236}">
              <a16:creationId xmlns:a16="http://schemas.microsoft.com/office/drawing/2014/main" id="{A74F219B-B1A5-496B-B4D6-31F2893A167E}"/>
            </a:ext>
          </a:extLst>
        </xdr:cNvPr>
        <xdr:cNvSpPr/>
      </xdr:nvSpPr>
      <xdr:spPr>
        <a:xfrm>
          <a:off x="18338800" y="1308100"/>
          <a:ext cx="4152900" cy="1085850"/>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tx1"/>
              </a:solidFill>
              <a:latin typeface="+mj-lt"/>
            </a:rPr>
            <a:t>    4.21       </a:t>
          </a:r>
        </a:p>
      </xdr:txBody>
    </xdr:sp>
    <xdr:clientData/>
  </xdr:twoCellAnchor>
  <xdr:twoCellAnchor>
    <xdr:from>
      <xdr:col>30</xdr:col>
      <xdr:colOff>285750</xdr:colOff>
      <xdr:row>7</xdr:row>
      <xdr:rowOff>139700</xdr:rowOff>
    </xdr:from>
    <xdr:to>
      <xdr:col>36</xdr:col>
      <xdr:colOff>209550</xdr:colOff>
      <xdr:row>10</xdr:row>
      <xdr:rowOff>101600</xdr:rowOff>
    </xdr:to>
    <xdr:sp macro="" textlink="">
      <xdr:nvSpPr>
        <xdr:cNvPr id="40" name="Rectangle: Rounded Corners 39">
          <a:extLst>
            <a:ext uri="{FF2B5EF4-FFF2-40B4-BE49-F238E27FC236}">
              <a16:creationId xmlns:a16="http://schemas.microsoft.com/office/drawing/2014/main" id="{EF887BC9-DE7D-4601-8B4B-765C991D1151}"/>
            </a:ext>
          </a:extLst>
        </xdr:cNvPr>
        <xdr:cNvSpPr/>
      </xdr:nvSpPr>
      <xdr:spPr>
        <a:xfrm>
          <a:off x="18573750" y="1384300"/>
          <a:ext cx="3581400" cy="4953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a:solidFill>
                <a:schemeClr val="tx1"/>
              </a:solidFill>
              <a:latin typeface="+mj-lt"/>
            </a:rPr>
            <a:t>            </a:t>
          </a:r>
          <a:r>
            <a:rPr lang="en-IN" sz="2800">
              <a:solidFill>
                <a:schemeClr val="tx1"/>
              </a:solidFill>
              <a:latin typeface="+mj-lt"/>
            </a:rPr>
            <a:t>Average Rating</a:t>
          </a:r>
          <a:endParaRPr lang="en-IN" sz="2400">
            <a:solidFill>
              <a:schemeClr val="tx1"/>
            </a:solidFill>
            <a:latin typeface="+mj-lt"/>
          </a:endParaRPr>
        </a:p>
      </xdr:txBody>
    </xdr:sp>
    <xdr:clientData/>
  </xdr:twoCellAnchor>
  <xdr:twoCellAnchor editAs="oneCell">
    <xdr:from>
      <xdr:col>6</xdr:col>
      <xdr:colOff>238125</xdr:colOff>
      <xdr:row>1</xdr:row>
      <xdr:rowOff>127000</xdr:rowOff>
    </xdr:from>
    <xdr:to>
      <xdr:col>8</xdr:col>
      <xdr:colOff>15875</xdr:colOff>
      <xdr:row>6</xdr:row>
      <xdr:rowOff>127000</xdr:rowOff>
    </xdr:to>
    <xdr:pic>
      <xdr:nvPicPr>
        <xdr:cNvPr id="7" name="Picture 6">
          <a:extLst>
            <a:ext uri="{FF2B5EF4-FFF2-40B4-BE49-F238E27FC236}">
              <a16:creationId xmlns:a16="http://schemas.microsoft.com/office/drawing/2014/main" id="{D6A37EC9-AB52-D711-D76F-65E3DAFA6A2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755" t="2027" r="4054" b="9460"/>
        <a:stretch>
          <a:fillRect/>
        </a:stretch>
      </xdr:blipFill>
      <xdr:spPr>
        <a:xfrm>
          <a:off x="3857625" y="317500"/>
          <a:ext cx="984250" cy="9525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430757</xdr:colOff>
      <xdr:row>0</xdr:row>
      <xdr:rowOff>0</xdr:rowOff>
    </xdr:from>
    <xdr:to>
      <xdr:col>39</xdr:col>
      <xdr:colOff>487907</xdr:colOff>
      <xdr:row>72</xdr:row>
      <xdr:rowOff>161059</xdr:rowOff>
    </xdr:to>
    <xdr:sp macro="" textlink="'Pivot chart'!B79">
      <xdr:nvSpPr>
        <xdr:cNvPr id="4" name="Rectangle 3">
          <a:extLst>
            <a:ext uri="{FF2B5EF4-FFF2-40B4-BE49-F238E27FC236}">
              <a16:creationId xmlns:a16="http://schemas.microsoft.com/office/drawing/2014/main" id="{04CC2573-C717-1AA0-AFB8-62C756B6D380}"/>
            </a:ext>
          </a:extLst>
        </xdr:cNvPr>
        <xdr:cNvSpPr/>
      </xdr:nvSpPr>
      <xdr:spPr>
        <a:xfrm>
          <a:off x="3478757" y="0"/>
          <a:ext cx="20783550" cy="13128914"/>
        </a:xfrm>
        <a:prstGeom prst="rect">
          <a:avLst/>
        </a:prstGeom>
        <a:solidFill>
          <a:schemeClr val="tx2">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429491</xdr:colOff>
      <xdr:row>0</xdr:row>
      <xdr:rowOff>0</xdr:rowOff>
    </xdr:from>
    <xdr:to>
      <xdr:col>39</xdr:col>
      <xdr:colOff>450273</xdr:colOff>
      <xdr:row>5</xdr:row>
      <xdr:rowOff>30377</xdr:rowOff>
    </xdr:to>
    <xdr:sp macro="" textlink="">
      <xdr:nvSpPr>
        <xdr:cNvPr id="6" name="Rectangle 5">
          <a:extLst>
            <a:ext uri="{FF2B5EF4-FFF2-40B4-BE49-F238E27FC236}">
              <a16:creationId xmlns:a16="http://schemas.microsoft.com/office/drawing/2014/main" id="{FBB55FD5-DA38-3A74-2C9C-50CFFDA22E04}"/>
            </a:ext>
          </a:extLst>
        </xdr:cNvPr>
        <xdr:cNvSpPr/>
      </xdr:nvSpPr>
      <xdr:spPr>
        <a:xfrm>
          <a:off x="3460173" y="0"/>
          <a:ext cx="20629418" cy="982877"/>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4" algn="l"/>
          <a:r>
            <a:rPr lang="en-IN" sz="4400" baseline="0">
              <a:solidFill>
                <a:schemeClr val="accent1">
                  <a:lumMod val="75000"/>
                </a:schemeClr>
              </a:solidFill>
              <a:latin typeface="Arial Black" panose="020B0A04020102020204" pitchFamily="34" charset="0"/>
            </a:rPr>
            <a:t>                       </a:t>
          </a:r>
          <a:r>
            <a:rPr lang="en-IN" sz="4400" baseline="0">
              <a:solidFill>
                <a:schemeClr val="bg2"/>
              </a:solidFill>
              <a:latin typeface="Arial Black" panose="020B0A04020102020204" pitchFamily="34" charset="0"/>
            </a:rPr>
            <a:t>         Sales Analysis</a:t>
          </a:r>
          <a:endParaRPr lang="en-IN" sz="4400">
            <a:solidFill>
              <a:schemeClr val="bg2"/>
            </a:solidFill>
            <a:latin typeface="Arial Black" panose="020B0A04020102020204" pitchFamily="34" charset="0"/>
          </a:endParaRPr>
        </a:p>
      </xdr:txBody>
    </xdr:sp>
    <xdr:clientData/>
  </xdr:twoCellAnchor>
  <xdr:twoCellAnchor>
    <xdr:from>
      <xdr:col>6</xdr:col>
      <xdr:colOff>95250</xdr:colOff>
      <xdr:row>7</xdr:row>
      <xdr:rowOff>76200</xdr:rowOff>
    </xdr:from>
    <xdr:to>
      <xdr:col>12</xdr:col>
      <xdr:colOff>114300</xdr:colOff>
      <xdr:row>13</xdr:row>
      <xdr:rowOff>114300</xdr:rowOff>
    </xdr:to>
    <xdr:sp macro="" textlink="">
      <xdr:nvSpPr>
        <xdr:cNvPr id="7" name="Rectangle: Rounded Corners 6">
          <a:extLst>
            <a:ext uri="{FF2B5EF4-FFF2-40B4-BE49-F238E27FC236}">
              <a16:creationId xmlns:a16="http://schemas.microsoft.com/office/drawing/2014/main" id="{81BD3E36-B459-857D-AE45-A70D6129AC61}"/>
            </a:ext>
          </a:extLst>
        </xdr:cNvPr>
        <xdr:cNvSpPr/>
      </xdr:nvSpPr>
      <xdr:spPr>
        <a:xfrm>
          <a:off x="3752850" y="1336964"/>
          <a:ext cx="3676650" cy="1118754"/>
        </a:xfrm>
        <a:prstGeom prst="roundRect">
          <a:avLst>
            <a:gd name="adj" fmla="val 0"/>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lvl="1" algn="l"/>
          <a:r>
            <a:rPr lang="en-US" sz="1800">
              <a:latin typeface="+mj-lt"/>
            </a:rPr>
            <a:t>             </a:t>
          </a:r>
          <a:r>
            <a:rPr lang="en-US" sz="2400">
              <a:latin typeface="+mj-lt"/>
            </a:rPr>
            <a:t>2,819,657  </a:t>
          </a:r>
          <a:endParaRPr lang="en-US" sz="1800">
            <a:latin typeface="+mj-lt"/>
          </a:endParaRPr>
        </a:p>
      </xdr:txBody>
    </xdr:sp>
    <xdr:clientData/>
  </xdr:twoCellAnchor>
  <xdr:twoCellAnchor>
    <xdr:from>
      <xdr:col>6</xdr:col>
      <xdr:colOff>342900</xdr:colOff>
      <xdr:row>8</xdr:row>
      <xdr:rowOff>19050</xdr:rowOff>
    </xdr:from>
    <xdr:to>
      <xdr:col>11</xdr:col>
      <xdr:colOff>552450</xdr:colOff>
      <xdr:row>10</xdr:row>
      <xdr:rowOff>51708</xdr:rowOff>
    </xdr:to>
    <xdr:sp macro="" textlink="">
      <xdr:nvSpPr>
        <xdr:cNvPr id="16" name="Rectangle: Rounded Corners 15">
          <a:extLst>
            <a:ext uri="{FF2B5EF4-FFF2-40B4-BE49-F238E27FC236}">
              <a16:creationId xmlns:a16="http://schemas.microsoft.com/office/drawing/2014/main" id="{EB644388-18AB-3017-1D6F-8A8FF85AA8E4}"/>
            </a:ext>
          </a:extLst>
        </xdr:cNvPr>
        <xdr:cNvSpPr/>
      </xdr:nvSpPr>
      <xdr:spPr>
        <a:xfrm>
          <a:off x="4000500" y="1459923"/>
          <a:ext cx="3257550" cy="392876"/>
        </a:xfrm>
        <a:prstGeom prst="roundRect">
          <a:avLst>
            <a:gd name="adj" fmla="val 0"/>
          </a:avLst>
        </a:prstGeom>
        <a:solidFill>
          <a:schemeClr val="bg1"/>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lvl="0" algn="ctr"/>
          <a:r>
            <a:rPr lang="en-IN" sz="2800" b="0" u="none" cap="none" spc="0">
              <a:ln w="0"/>
              <a:solidFill>
                <a:schemeClr val="tx1"/>
              </a:solidFill>
              <a:effectLst/>
              <a:latin typeface="+mj-lt"/>
            </a:rPr>
            <a:t>       Total Revenue   </a:t>
          </a:r>
          <a:endParaRPr lang="en-IN" sz="2400" b="0" u="none" cap="none" spc="0">
            <a:ln w="0"/>
            <a:solidFill>
              <a:schemeClr val="tx1"/>
            </a:solidFill>
            <a:effectLst/>
            <a:latin typeface="+mj-lt"/>
          </a:endParaRPr>
        </a:p>
      </xdr:txBody>
    </xdr:sp>
    <xdr:clientData/>
  </xdr:twoCellAnchor>
  <xdr:twoCellAnchor>
    <xdr:from>
      <xdr:col>13</xdr:col>
      <xdr:colOff>86591</xdr:colOff>
      <xdr:row>7</xdr:row>
      <xdr:rowOff>95250</xdr:rowOff>
    </xdr:from>
    <xdr:to>
      <xdr:col>20</xdr:col>
      <xdr:colOff>86591</xdr:colOff>
      <xdr:row>13</xdr:row>
      <xdr:rowOff>95250</xdr:rowOff>
    </xdr:to>
    <xdr:sp macro="" textlink="'Pivot chart'!C34">
      <xdr:nvSpPr>
        <xdr:cNvPr id="19" name="Rectangle: Rounded Corners 18">
          <a:extLst>
            <a:ext uri="{FF2B5EF4-FFF2-40B4-BE49-F238E27FC236}">
              <a16:creationId xmlns:a16="http://schemas.microsoft.com/office/drawing/2014/main" id="{41823CD5-69A2-6C52-6509-463CF2D49921}"/>
            </a:ext>
          </a:extLst>
        </xdr:cNvPr>
        <xdr:cNvSpPr/>
      </xdr:nvSpPr>
      <xdr:spPr>
        <a:xfrm>
          <a:off x="7966364" y="1428750"/>
          <a:ext cx="4242954" cy="1143000"/>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mj-lt"/>
              <a:ea typeface="Calibri"/>
              <a:cs typeface="Calibri"/>
            </a:rPr>
            <a:t>   </a:t>
          </a:r>
          <a:fld id="{CADC8E48-02B2-4069-8458-3DF49D6F4D9D}" type="TxLink">
            <a:rPr lang="en-US" sz="2400" b="0" i="0" u="none" strike="noStrike">
              <a:solidFill>
                <a:srgbClr val="000000"/>
              </a:solidFill>
              <a:latin typeface="+mj-lt"/>
              <a:ea typeface="Calibri"/>
              <a:cs typeface="Calibri"/>
            </a:rPr>
            <a:pPr algn="ctr"/>
            <a:t>3995</a:t>
          </a:fld>
          <a:r>
            <a:rPr lang="en-US" sz="2400" b="0" i="0" u="none" strike="noStrike">
              <a:solidFill>
                <a:srgbClr val="000000"/>
              </a:solidFill>
              <a:latin typeface="+mj-lt"/>
              <a:ea typeface="Calibri"/>
              <a:cs typeface="Calibri"/>
            </a:rPr>
            <a:t>7</a:t>
          </a:r>
          <a:endParaRPr lang="en-US" sz="2800">
            <a:latin typeface="+mj-lt"/>
          </a:endParaRPr>
        </a:p>
      </xdr:txBody>
    </xdr:sp>
    <xdr:clientData/>
  </xdr:twoCellAnchor>
  <xdr:twoCellAnchor>
    <xdr:from>
      <xdr:col>13</xdr:col>
      <xdr:colOff>207677</xdr:colOff>
      <xdr:row>7</xdr:row>
      <xdr:rowOff>166255</xdr:rowOff>
    </xdr:from>
    <xdr:to>
      <xdr:col>19</xdr:col>
      <xdr:colOff>283877</xdr:colOff>
      <xdr:row>10</xdr:row>
      <xdr:rowOff>89867</xdr:rowOff>
    </xdr:to>
    <xdr:sp macro="" textlink="">
      <xdr:nvSpPr>
        <xdr:cNvPr id="20" name="Rectangle: Rounded Corners 19">
          <a:extLst>
            <a:ext uri="{FF2B5EF4-FFF2-40B4-BE49-F238E27FC236}">
              <a16:creationId xmlns:a16="http://schemas.microsoft.com/office/drawing/2014/main" id="{DCB2B23F-32D3-96A6-2F98-D0EF1313C82E}"/>
            </a:ext>
          </a:extLst>
        </xdr:cNvPr>
        <xdr:cNvSpPr/>
      </xdr:nvSpPr>
      <xdr:spPr>
        <a:xfrm>
          <a:off x="8132477" y="1427019"/>
          <a:ext cx="3733800" cy="463939"/>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t>             </a:t>
          </a:r>
          <a:r>
            <a:rPr lang="en-IN" sz="2400">
              <a:solidFill>
                <a:schemeClr val="tx1"/>
              </a:solidFill>
              <a:latin typeface="+mj-lt"/>
            </a:rPr>
            <a:t>Total Units </a:t>
          </a:r>
          <a:r>
            <a:rPr lang="en-IN" sz="2400" baseline="0">
              <a:solidFill>
                <a:schemeClr val="tx1"/>
              </a:solidFill>
              <a:latin typeface="+mj-lt"/>
            </a:rPr>
            <a:t> </a:t>
          </a:r>
          <a:r>
            <a:rPr lang="en-IN" sz="2400">
              <a:solidFill>
                <a:schemeClr val="tx1"/>
              </a:solidFill>
              <a:latin typeface="+mj-lt"/>
            </a:rPr>
            <a:t>Sold</a:t>
          </a:r>
          <a:endParaRPr lang="en-IN" sz="1800">
            <a:solidFill>
              <a:schemeClr val="tx1"/>
            </a:solidFill>
            <a:latin typeface="+mj-lt"/>
          </a:endParaRPr>
        </a:p>
      </xdr:txBody>
    </xdr:sp>
    <xdr:clientData/>
  </xdr:twoCellAnchor>
  <xdr:twoCellAnchor>
    <xdr:from>
      <xdr:col>21</xdr:col>
      <xdr:colOff>346363</xdr:colOff>
      <xdr:row>7</xdr:row>
      <xdr:rowOff>76200</xdr:rowOff>
    </xdr:from>
    <xdr:to>
      <xdr:col>28</xdr:col>
      <xdr:colOff>311726</xdr:colOff>
      <xdr:row>13</xdr:row>
      <xdr:rowOff>95250</xdr:rowOff>
    </xdr:to>
    <xdr:sp macro="" textlink="">
      <xdr:nvSpPr>
        <xdr:cNvPr id="32" name="Rectangle: Rounded Corners 31">
          <a:extLst>
            <a:ext uri="{FF2B5EF4-FFF2-40B4-BE49-F238E27FC236}">
              <a16:creationId xmlns:a16="http://schemas.microsoft.com/office/drawing/2014/main" id="{821BD10B-49B4-C18B-585E-79B33CD2BDAE}"/>
            </a:ext>
          </a:extLst>
        </xdr:cNvPr>
        <xdr:cNvSpPr/>
      </xdr:nvSpPr>
      <xdr:spPr>
        <a:xfrm>
          <a:off x="13075227" y="1409700"/>
          <a:ext cx="4208317" cy="1162050"/>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tx1"/>
              </a:solidFill>
              <a:latin typeface="+mj-lt"/>
            </a:rPr>
            <a:t>         686.44  </a:t>
          </a:r>
        </a:p>
      </xdr:txBody>
    </xdr:sp>
    <xdr:clientData/>
  </xdr:twoCellAnchor>
  <xdr:twoCellAnchor>
    <xdr:from>
      <xdr:col>22</xdr:col>
      <xdr:colOff>19050</xdr:colOff>
      <xdr:row>8</xdr:row>
      <xdr:rowOff>0</xdr:rowOff>
    </xdr:from>
    <xdr:to>
      <xdr:col>27</xdr:col>
      <xdr:colOff>552450</xdr:colOff>
      <xdr:row>10</xdr:row>
      <xdr:rowOff>76200</xdr:rowOff>
    </xdr:to>
    <xdr:sp macro="" textlink="">
      <xdr:nvSpPr>
        <xdr:cNvPr id="33" name="Rectangle: Rounded Corners 32">
          <a:extLst>
            <a:ext uri="{FF2B5EF4-FFF2-40B4-BE49-F238E27FC236}">
              <a16:creationId xmlns:a16="http://schemas.microsoft.com/office/drawing/2014/main" id="{11946381-6E90-7C1B-C80F-84A5F7D09586}"/>
            </a:ext>
          </a:extLst>
        </xdr:cNvPr>
        <xdr:cNvSpPr/>
      </xdr:nvSpPr>
      <xdr:spPr>
        <a:xfrm>
          <a:off x="13430250" y="1440873"/>
          <a:ext cx="3581400" cy="436418"/>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a:solidFill>
                <a:schemeClr val="tx1"/>
              </a:solidFill>
              <a:latin typeface="+mj-lt"/>
            </a:rPr>
            <a:t>           </a:t>
          </a:r>
          <a:r>
            <a:rPr lang="en-IN" sz="2800">
              <a:solidFill>
                <a:schemeClr val="tx1"/>
              </a:solidFill>
              <a:latin typeface="+mj-lt"/>
            </a:rPr>
            <a:t>Average Price</a:t>
          </a:r>
          <a:endParaRPr lang="en-IN" sz="2400">
            <a:solidFill>
              <a:schemeClr val="tx1"/>
            </a:solidFill>
            <a:latin typeface="+mj-lt"/>
          </a:endParaRPr>
        </a:p>
      </xdr:txBody>
    </xdr:sp>
    <xdr:clientData/>
  </xdr:twoCellAnchor>
  <xdr:twoCellAnchor>
    <xdr:from>
      <xdr:col>30</xdr:col>
      <xdr:colOff>138545</xdr:colOff>
      <xdr:row>7</xdr:row>
      <xdr:rowOff>55418</xdr:rowOff>
    </xdr:from>
    <xdr:to>
      <xdr:col>36</xdr:col>
      <xdr:colOff>514350</xdr:colOff>
      <xdr:row>13</xdr:row>
      <xdr:rowOff>96982</xdr:rowOff>
    </xdr:to>
    <xdr:sp macro="" textlink="'Pivot chart'!B79">
      <xdr:nvSpPr>
        <xdr:cNvPr id="40" name="Rectangle: Rounded Corners 39">
          <a:extLst>
            <a:ext uri="{FF2B5EF4-FFF2-40B4-BE49-F238E27FC236}">
              <a16:creationId xmlns:a16="http://schemas.microsoft.com/office/drawing/2014/main" id="{BC844ACB-ABC0-CB68-8186-D04643C29833}"/>
            </a:ext>
          </a:extLst>
        </xdr:cNvPr>
        <xdr:cNvSpPr/>
      </xdr:nvSpPr>
      <xdr:spPr>
        <a:xfrm>
          <a:off x="18322636" y="1388918"/>
          <a:ext cx="4012623" cy="1184564"/>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0" i="0" u="none" strike="noStrike">
              <a:solidFill>
                <a:srgbClr val="000000"/>
              </a:solidFill>
              <a:latin typeface="Calibri"/>
              <a:ea typeface="Calibri"/>
              <a:cs typeface="Calibri"/>
            </a:rPr>
            <a:t>     </a:t>
          </a:r>
          <a:fld id="{6B1F1DA4-E34E-4982-BC06-0794F440E292}" type="TxLink">
            <a:rPr lang="en-US" sz="3200" b="0" i="0" u="none" strike="noStrike">
              <a:solidFill>
                <a:srgbClr val="000000"/>
              </a:solidFill>
              <a:latin typeface="Calibri"/>
              <a:ea typeface="Calibri"/>
              <a:cs typeface="Calibri"/>
            </a:rPr>
            <a:pPr algn="ctr"/>
            <a:t>4.21</a:t>
          </a:fld>
          <a:endParaRPr lang="en-US" sz="6000"/>
        </a:p>
      </xdr:txBody>
    </xdr:sp>
    <xdr:clientData/>
  </xdr:twoCellAnchor>
  <xdr:twoCellAnchor>
    <xdr:from>
      <xdr:col>31</xdr:col>
      <xdr:colOff>54061</xdr:colOff>
      <xdr:row>8</xdr:row>
      <xdr:rowOff>0</xdr:rowOff>
    </xdr:from>
    <xdr:to>
      <xdr:col>35</xdr:col>
      <xdr:colOff>595699</xdr:colOff>
      <xdr:row>10</xdr:row>
      <xdr:rowOff>28832</xdr:rowOff>
    </xdr:to>
    <xdr:sp macro="" textlink="">
      <xdr:nvSpPr>
        <xdr:cNvPr id="41" name="Rectangle: Rounded Corners 40">
          <a:extLst>
            <a:ext uri="{FF2B5EF4-FFF2-40B4-BE49-F238E27FC236}">
              <a16:creationId xmlns:a16="http://schemas.microsoft.com/office/drawing/2014/main" id="{247308A4-7F09-4385-B43A-29207E0046A0}"/>
            </a:ext>
          </a:extLst>
        </xdr:cNvPr>
        <xdr:cNvSpPr/>
      </xdr:nvSpPr>
      <xdr:spPr>
        <a:xfrm>
          <a:off x="18951661" y="1440873"/>
          <a:ext cx="2980038" cy="38905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l"/>
          <a:r>
            <a:rPr lang="en-IN" sz="2000" baseline="0">
              <a:solidFill>
                <a:schemeClr val="tx1"/>
              </a:solidFill>
              <a:latin typeface="+mj-lt"/>
            </a:rPr>
            <a:t>    </a:t>
          </a:r>
          <a:r>
            <a:rPr lang="en-IN" sz="2800">
              <a:solidFill>
                <a:schemeClr val="tx1"/>
              </a:solidFill>
              <a:latin typeface="+mj-lt"/>
            </a:rPr>
            <a:t>Average </a:t>
          </a:r>
          <a:r>
            <a:rPr lang="en-IN" sz="2800" b="0" i="0">
              <a:solidFill>
                <a:schemeClr val="tx1"/>
              </a:solidFill>
              <a:latin typeface="+mj-lt"/>
            </a:rPr>
            <a:t>Rating</a:t>
          </a:r>
          <a:r>
            <a:rPr lang="en-IN" sz="2800">
              <a:solidFill>
                <a:schemeClr val="tx1"/>
              </a:solidFill>
              <a:latin typeface="+mj-lt"/>
            </a:rPr>
            <a:t>  </a:t>
          </a:r>
          <a:endParaRPr lang="en-IN" sz="2000">
            <a:solidFill>
              <a:schemeClr val="tx1"/>
            </a:solidFill>
            <a:latin typeface="+mj-lt"/>
          </a:endParaRPr>
        </a:p>
      </xdr:txBody>
    </xdr:sp>
    <xdr:clientData/>
  </xdr:twoCellAnchor>
  <xdr:twoCellAnchor editAs="oneCell">
    <xdr:from>
      <xdr:col>31</xdr:col>
      <xdr:colOff>416010</xdr:colOff>
      <xdr:row>15</xdr:row>
      <xdr:rowOff>32436</xdr:rowOff>
    </xdr:from>
    <xdr:to>
      <xdr:col>36</xdr:col>
      <xdr:colOff>533400</xdr:colOff>
      <xdr:row>24</xdr:row>
      <xdr:rowOff>133350</xdr:rowOff>
    </xdr:to>
    <mc:AlternateContent xmlns:mc="http://schemas.openxmlformats.org/markup-compatibility/2006" xmlns:a14="http://schemas.microsoft.com/office/drawing/2010/main">
      <mc:Choice Requires="a14">
        <xdr:graphicFrame macro="">
          <xdr:nvGraphicFramePr>
            <xdr:cNvPr id="64" name="Year 2">
              <a:extLst>
                <a:ext uri="{FF2B5EF4-FFF2-40B4-BE49-F238E27FC236}">
                  <a16:creationId xmlns:a16="http://schemas.microsoft.com/office/drawing/2014/main" id="{21C39C4B-E4D8-49FF-8BAD-F44925AC9B9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9313610" y="2889936"/>
              <a:ext cx="3165390" cy="181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108503</xdr:colOff>
      <xdr:row>15</xdr:row>
      <xdr:rowOff>61254</xdr:rowOff>
    </xdr:from>
    <xdr:to>
      <xdr:col>15</xdr:col>
      <xdr:colOff>19050</xdr:colOff>
      <xdr:row>25</xdr:row>
      <xdr:rowOff>-1</xdr:rowOff>
    </xdr:to>
    <mc:AlternateContent xmlns:mc="http://schemas.openxmlformats.org/markup-compatibility/2006" xmlns:a14="http://schemas.microsoft.com/office/drawing/2010/main">
      <mc:Choice Requires="a14">
        <xdr:graphicFrame macro="">
          <xdr:nvGraphicFramePr>
            <xdr:cNvPr id="65" name="Country 2">
              <a:extLst>
                <a:ext uri="{FF2B5EF4-FFF2-40B4-BE49-F238E27FC236}">
                  <a16:creationId xmlns:a16="http://schemas.microsoft.com/office/drawing/2014/main" id="{F1821C1B-4CD5-4C20-A6B6-E80D3A686EDE}"/>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766103" y="2918754"/>
              <a:ext cx="5396947" cy="1843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49997</xdr:colOff>
      <xdr:row>14</xdr:row>
      <xdr:rowOff>152400</xdr:rowOff>
    </xdr:from>
    <xdr:to>
      <xdr:col>23</xdr:col>
      <xdr:colOff>304800</xdr:colOff>
      <xdr:row>24</xdr:row>
      <xdr:rowOff>152400</xdr:rowOff>
    </xdr:to>
    <mc:AlternateContent xmlns:mc="http://schemas.openxmlformats.org/markup-compatibility/2006" xmlns:a14="http://schemas.microsoft.com/office/drawing/2010/main">
      <mc:Choice Requires="a14">
        <xdr:graphicFrame macro="">
          <xdr:nvGraphicFramePr>
            <xdr:cNvPr id="66" name="Brand 1">
              <a:extLst>
                <a:ext uri="{FF2B5EF4-FFF2-40B4-BE49-F238E27FC236}">
                  <a16:creationId xmlns:a16="http://schemas.microsoft.com/office/drawing/2014/main" id="{71CA0496-A306-4D7A-87C1-08FB034C446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0413197" y="2819400"/>
              <a:ext cx="3912403"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591007</xdr:colOff>
      <xdr:row>15</xdr:row>
      <xdr:rowOff>57150</xdr:rowOff>
    </xdr:from>
    <xdr:to>
      <xdr:col>30</xdr:col>
      <xdr:colOff>92857</xdr:colOff>
      <xdr:row>24</xdr:row>
      <xdr:rowOff>95249</xdr:rowOff>
    </xdr:to>
    <mc:AlternateContent xmlns:mc="http://schemas.openxmlformats.org/markup-compatibility/2006" xmlns:a14="http://schemas.microsoft.com/office/drawing/2010/main">
      <mc:Choice Requires="a14">
        <xdr:graphicFrame macro="">
          <xdr:nvGraphicFramePr>
            <xdr:cNvPr id="67" name="Category 2">
              <a:extLst>
                <a:ext uri="{FF2B5EF4-FFF2-40B4-BE49-F238E27FC236}">
                  <a16:creationId xmlns:a16="http://schemas.microsoft.com/office/drawing/2014/main" id="{1C9FABF5-D5DE-4A62-89E7-082D87C687B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221407" y="2914650"/>
              <a:ext cx="315945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133350</xdr:colOff>
      <xdr:row>27</xdr:row>
      <xdr:rowOff>31315</xdr:rowOff>
    </xdr:from>
    <xdr:to>
      <xdr:col>19</xdr:col>
      <xdr:colOff>495300</xdr:colOff>
      <xdr:row>30</xdr:row>
      <xdr:rowOff>76200</xdr:rowOff>
    </xdr:to>
    <xdr:sp macro="" textlink="">
      <xdr:nvSpPr>
        <xdr:cNvPr id="5" name="Rectangle: Rounded Corners 4">
          <a:extLst>
            <a:ext uri="{FF2B5EF4-FFF2-40B4-BE49-F238E27FC236}">
              <a16:creationId xmlns:a16="http://schemas.microsoft.com/office/drawing/2014/main" id="{82A1721E-878D-C374-DB72-05775182A483}"/>
            </a:ext>
          </a:extLst>
        </xdr:cNvPr>
        <xdr:cNvSpPr/>
      </xdr:nvSpPr>
      <xdr:spPr>
        <a:xfrm>
          <a:off x="3765898" y="5104356"/>
          <a:ext cx="8232470" cy="60855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mj-lt"/>
            </a:rPr>
            <a:t>Revenue By Brand </a:t>
          </a:r>
        </a:p>
      </xdr:txBody>
    </xdr:sp>
    <xdr:clientData/>
  </xdr:twoCellAnchor>
  <xdr:twoCellAnchor>
    <xdr:from>
      <xdr:col>6</xdr:col>
      <xdr:colOff>171450</xdr:colOff>
      <xdr:row>31</xdr:row>
      <xdr:rowOff>0</xdr:rowOff>
    </xdr:from>
    <xdr:to>
      <xdr:col>19</xdr:col>
      <xdr:colOff>495300</xdr:colOff>
      <xdr:row>47</xdr:row>
      <xdr:rowOff>133350</xdr:rowOff>
    </xdr:to>
    <xdr:graphicFrame macro="">
      <xdr:nvGraphicFramePr>
        <xdr:cNvPr id="8" name="Chart 7">
          <a:extLst>
            <a:ext uri="{FF2B5EF4-FFF2-40B4-BE49-F238E27FC236}">
              <a16:creationId xmlns:a16="http://schemas.microsoft.com/office/drawing/2014/main" id="{F437D49B-CE00-4F01-83BA-47537A835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44450</xdr:colOff>
      <xdr:row>30</xdr:row>
      <xdr:rowOff>95250</xdr:rowOff>
    </xdr:from>
    <xdr:to>
      <xdr:col>36</xdr:col>
      <xdr:colOff>133350</xdr:colOff>
      <xdr:row>47</xdr:row>
      <xdr:rowOff>171450</xdr:rowOff>
    </xdr:to>
    <xdr:graphicFrame macro="">
      <xdr:nvGraphicFramePr>
        <xdr:cNvPr id="9" name="Chart 8">
          <a:extLst>
            <a:ext uri="{FF2B5EF4-FFF2-40B4-BE49-F238E27FC236}">
              <a16:creationId xmlns:a16="http://schemas.microsoft.com/office/drawing/2014/main" id="{40DA7912-C1BA-4377-8AAB-0823D0473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50800</xdr:colOff>
      <xdr:row>27</xdr:row>
      <xdr:rowOff>10438</xdr:rowOff>
    </xdr:from>
    <xdr:to>
      <xdr:col>36</xdr:col>
      <xdr:colOff>95250</xdr:colOff>
      <xdr:row>29</xdr:row>
      <xdr:rowOff>184150</xdr:rowOff>
    </xdr:to>
    <xdr:sp macro="" textlink="">
      <xdr:nvSpPr>
        <xdr:cNvPr id="11" name="Rectangle: Rounded Corners 10">
          <a:extLst>
            <a:ext uri="{FF2B5EF4-FFF2-40B4-BE49-F238E27FC236}">
              <a16:creationId xmlns:a16="http://schemas.microsoft.com/office/drawing/2014/main" id="{9B0BD717-468A-6E51-0E83-9E5645962688}"/>
            </a:ext>
          </a:extLst>
        </xdr:cNvPr>
        <xdr:cNvSpPr/>
      </xdr:nvSpPr>
      <xdr:spPr>
        <a:xfrm>
          <a:off x="13370142" y="5083479"/>
          <a:ext cx="8520396" cy="54949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mj-lt"/>
            </a:rPr>
            <a:t>Units</a:t>
          </a:r>
          <a:r>
            <a:rPr lang="en-IN" sz="3200" baseline="0">
              <a:solidFill>
                <a:schemeClr val="tx1"/>
              </a:solidFill>
              <a:latin typeface="+mj-lt"/>
            </a:rPr>
            <a:t> Sold By Country</a:t>
          </a:r>
          <a:endParaRPr lang="en-IN" sz="3200">
            <a:solidFill>
              <a:schemeClr val="tx1"/>
            </a:solidFill>
            <a:latin typeface="+mj-lt"/>
          </a:endParaRPr>
        </a:p>
      </xdr:txBody>
    </xdr:sp>
    <xdr:clientData/>
  </xdr:twoCellAnchor>
  <xdr:twoCellAnchor>
    <xdr:from>
      <xdr:col>6</xdr:col>
      <xdr:colOff>190500</xdr:colOff>
      <xdr:row>48</xdr:row>
      <xdr:rowOff>19050</xdr:rowOff>
    </xdr:from>
    <xdr:to>
      <xdr:col>19</xdr:col>
      <xdr:colOff>457200</xdr:colOff>
      <xdr:row>51</xdr:row>
      <xdr:rowOff>38100</xdr:rowOff>
    </xdr:to>
    <xdr:sp macro="" textlink="">
      <xdr:nvSpPr>
        <xdr:cNvPr id="13" name="Rectangle: Rounded Corners 12">
          <a:extLst>
            <a:ext uri="{FF2B5EF4-FFF2-40B4-BE49-F238E27FC236}">
              <a16:creationId xmlns:a16="http://schemas.microsoft.com/office/drawing/2014/main" id="{B901F5C2-1AE4-8857-C5A8-1F09DCDBB081}"/>
            </a:ext>
          </a:extLst>
        </xdr:cNvPr>
        <xdr:cNvSpPr/>
      </xdr:nvSpPr>
      <xdr:spPr>
        <a:xfrm>
          <a:off x="3848100" y="9163050"/>
          <a:ext cx="8191500" cy="5905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mj-lt"/>
            </a:rPr>
            <a:t>Revenue By Country</a:t>
          </a:r>
        </a:p>
      </xdr:txBody>
    </xdr:sp>
    <xdr:clientData/>
  </xdr:twoCellAnchor>
  <xdr:twoCellAnchor>
    <xdr:from>
      <xdr:col>22</xdr:col>
      <xdr:colOff>38100</xdr:colOff>
      <xdr:row>48</xdr:row>
      <xdr:rowOff>38100</xdr:rowOff>
    </xdr:from>
    <xdr:to>
      <xdr:col>36</xdr:col>
      <xdr:colOff>190500</xdr:colOff>
      <xdr:row>51</xdr:row>
      <xdr:rowOff>57150</xdr:rowOff>
    </xdr:to>
    <xdr:sp macro="" textlink="">
      <xdr:nvSpPr>
        <xdr:cNvPr id="21" name="Rectangle: Rounded Corners 20">
          <a:extLst>
            <a:ext uri="{FF2B5EF4-FFF2-40B4-BE49-F238E27FC236}">
              <a16:creationId xmlns:a16="http://schemas.microsoft.com/office/drawing/2014/main" id="{CA7028CC-3538-BB40-CA32-38F95C3999FD}"/>
            </a:ext>
          </a:extLst>
        </xdr:cNvPr>
        <xdr:cNvSpPr/>
      </xdr:nvSpPr>
      <xdr:spPr>
        <a:xfrm>
          <a:off x="13449300" y="9182100"/>
          <a:ext cx="8686800" cy="5905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latin typeface="+mj-lt"/>
            </a:rPr>
            <a:t>Online</a:t>
          </a:r>
          <a:r>
            <a:rPr lang="en-IN" sz="3200" baseline="0">
              <a:solidFill>
                <a:schemeClr val="tx1"/>
              </a:solidFill>
              <a:latin typeface="+mj-lt"/>
            </a:rPr>
            <a:t> vs Offline Sales By Brand</a:t>
          </a:r>
          <a:endParaRPr lang="en-IN" sz="3200">
            <a:solidFill>
              <a:schemeClr val="tx1"/>
            </a:solidFill>
            <a:latin typeface="+mj-lt"/>
          </a:endParaRPr>
        </a:p>
      </xdr:txBody>
    </xdr:sp>
    <xdr:clientData/>
  </xdr:twoCellAnchor>
  <xdr:twoCellAnchor>
    <xdr:from>
      <xdr:col>22</xdr:col>
      <xdr:colOff>104384</xdr:colOff>
      <xdr:row>51</xdr:row>
      <xdr:rowOff>150214</xdr:rowOff>
    </xdr:from>
    <xdr:to>
      <xdr:col>36</xdr:col>
      <xdr:colOff>135698</xdr:colOff>
      <xdr:row>72</xdr:row>
      <xdr:rowOff>144161</xdr:rowOff>
    </xdr:to>
    <xdr:graphicFrame macro="">
      <xdr:nvGraphicFramePr>
        <xdr:cNvPr id="24" name="Chart 23">
          <a:extLst>
            <a:ext uri="{FF2B5EF4-FFF2-40B4-BE49-F238E27FC236}">
              <a16:creationId xmlns:a16="http://schemas.microsoft.com/office/drawing/2014/main" id="{846B1807-5F63-4202-9F12-75D1CEF6D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408878</xdr:colOff>
      <xdr:row>51</xdr:row>
      <xdr:rowOff>67835</xdr:rowOff>
    </xdr:from>
    <xdr:to>
      <xdr:col>19</xdr:col>
      <xdr:colOff>417535</xdr:colOff>
      <xdr:row>72</xdr:row>
      <xdr:rowOff>82379</xdr:rowOff>
    </xdr:to>
    <xdr:graphicFrame macro="">
      <xdr:nvGraphicFramePr>
        <xdr:cNvPr id="25" name="Chart 24">
          <a:extLst>
            <a:ext uri="{FF2B5EF4-FFF2-40B4-BE49-F238E27FC236}">
              <a16:creationId xmlns:a16="http://schemas.microsoft.com/office/drawing/2014/main" id="{7A4E2990-F365-435F-8EE9-B4E9567BF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595586</xdr:colOff>
      <xdr:row>1</xdr:row>
      <xdr:rowOff>13083</xdr:rowOff>
    </xdr:from>
    <xdr:to>
      <xdr:col>31</xdr:col>
      <xdr:colOff>508000</xdr:colOff>
      <xdr:row>71</xdr:row>
      <xdr:rowOff>23244</xdr:rowOff>
    </xdr:to>
    <xdr:sp macro="" textlink="'Pivot chart'!D128">
      <xdr:nvSpPr>
        <xdr:cNvPr id="3" name="Rectangle 2">
          <a:extLst>
            <a:ext uri="{FF2B5EF4-FFF2-40B4-BE49-F238E27FC236}">
              <a16:creationId xmlns:a16="http://schemas.microsoft.com/office/drawing/2014/main" id="{89A775E4-79E7-4BA9-A418-99BDD87F9AAF}"/>
            </a:ext>
          </a:extLst>
        </xdr:cNvPr>
        <xdr:cNvSpPr/>
      </xdr:nvSpPr>
      <xdr:spPr>
        <a:xfrm>
          <a:off x="2424386" y="200652"/>
          <a:ext cx="16981214" cy="1314000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579120</xdr:colOff>
      <xdr:row>1</xdr:row>
      <xdr:rowOff>43962</xdr:rowOff>
    </xdr:from>
    <xdr:to>
      <xdr:col>31</xdr:col>
      <xdr:colOff>527538</xdr:colOff>
      <xdr:row>5</xdr:row>
      <xdr:rowOff>58615</xdr:rowOff>
    </xdr:to>
    <xdr:sp macro="" textlink="">
      <xdr:nvSpPr>
        <xdr:cNvPr id="4" name="Rectangle 3">
          <a:extLst>
            <a:ext uri="{FF2B5EF4-FFF2-40B4-BE49-F238E27FC236}">
              <a16:creationId xmlns:a16="http://schemas.microsoft.com/office/drawing/2014/main" id="{697E3A3E-D57E-4BFE-959A-8469FDE1D58B}"/>
            </a:ext>
          </a:extLst>
        </xdr:cNvPr>
        <xdr:cNvSpPr/>
      </xdr:nvSpPr>
      <xdr:spPr>
        <a:xfrm>
          <a:off x="2425505" y="234462"/>
          <a:ext cx="17181341" cy="776653"/>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4" algn="l"/>
          <a:r>
            <a:rPr lang="en-IN" sz="3200" baseline="0">
              <a:solidFill>
                <a:schemeClr val="bg2"/>
              </a:solidFill>
              <a:latin typeface="Arial Black" panose="020B0A04020102020204" pitchFamily="34" charset="0"/>
            </a:rPr>
            <a:t>                     </a:t>
          </a:r>
          <a:r>
            <a:rPr lang="en-IN" sz="3200" baseline="0">
              <a:solidFill>
                <a:schemeClr val="bg1"/>
              </a:solidFill>
              <a:latin typeface="Arial Black" panose="020B0A04020102020204" pitchFamily="34" charset="0"/>
            </a:rPr>
            <a:t>           Product Insights</a:t>
          </a:r>
          <a:endParaRPr lang="en-IN" sz="3200">
            <a:solidFill>
              <a:schemeClr val="bg1"/>
            </a:solidFill>
            <a:latin typeface="Arial Black" panose="020B0A04020102020204" pitchFamily="34" charset="0"/>
          </a:endParaRPr>
        </a:p>
      </xdr:txBody>
    </xdr:sp>
    <xdr:clientData/>
  </xdr:twoCellAnchor>
  <xdr:twoCellAnchor>
    <xdr:from>
      <xdr:col>4</xdr:col>
      <xdr:colOff>182638</xdr:colOff>
      <xdr:row>7</xdr:row>
      <xdr:rowOff>167640</xdr:rowOff>
    </xdr:from>
    <xdr:to>
      <xdr:col>9</xdr:col>
      <xdr:colOff>518160</xdr:colOff>
      <xdr:row>13</xdr:row>
      <xdr:rowOff>91440</xdr:rowOff>
    </xdr:to>
    <xdr:sp macro="" textlink="'Pivot chart'!B64">
      <xdr:nvSpPr>
        <xdr:cNvPr id="5" name="Rectangle: Rounded Corners 4">
          <a:extLst>
            <a:ext uri="{FF2B5EF4-FFF2-40B4-BE49-F238E27FC236}">
              <a16:creationId xmlns:a16="http://schemas.microsoft.com/office/drawing/2014/main" id="{E8A1C41B-0B38-4F7A-AFE3-29C9F200CD5F}"/>
            </a:ext>
          </a:extLst>
        </xdr:cNvPr>
        <xdr:cNvSpPr/>
      </xdr:nvSpPr>
      <xdr:spPr>
        <a:xfrm>
          <a:off x="2621038" y="1480625"/>
          <a:ext cx="3383522" cy="1049215"/>
        </a:xfrm>
        <a:prstGeom prst="roundRect">
          <a:avLst>
            <a:gd name="adj" fmla="val 0"/>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lvl="1" algn="ctr"/>
          <a:r>
            <a:rPr lang="en-US" sz="2000" b="0" i="0" u="none" strike="noStrike">
              <a:solidFill>
                <a:srgbClr val="000000"/>
              </a:solidFill>
              <a:latin typeface="Calibri"/>
              <a:ea typeface="Calibri"/>
              <a:cs typeface="Calibri"/>
            </a:rPr>
            <a:t>                                    </a:t>
          </a:r>
          <a:fld id="{D04E72F9-84E4-492D-BC74-390944AF20A0}" type="TxLink">
            <a:rPr lang="en-US" sz="2000" b="0" i="0" u="none" strike="noStrike">
              <a:solidFill>
                <a:srgbClr val="000000"/>
              </a:solidFill>
              <a:latin typeface="Calibri"/>
              <a:ea typeface="Calibri"/>
              <a:cs typeface="Calibri"/>
            </a:rPr>
            <a:pPr lvl="1" algn="ctr"/>
            <a:t>686.44</a:t>
          </a:fld>
          <a:endParaRPr lang="en-US" sz="3600">
            <a:latin typeface="+mj-lt"/>
          </a:endParaRPr>
        </a:p>
      </xdr:txBody>
    </xdr:sp>
    <xdr:clientData/>
  </xdr:twoCellAnchor>
  <xdr:twoCellAnchor>
    <xdr:from>
      <xdr:col>5</xdr:col>
      <xdr:colOff>234964</xdr:colOff>
      <xdr:row>8</xdr:row>
      <xdr:rowOff>45720</xdr:rowOff>
    </xdr:from>
    <xdr:to>
      <xdr:col>9</xdr:col>
      <xdr:colOff>89822</xdr:colOff>
      <xdr:row>10</xdr:row>
      <xdr:rowOff>32658</xdr:rowOff>
    </xdr:to>
    <xdr:sp macro="" textlink="">
      <xdr:nvSpPr>
        <xdr:cNvPr id="6" name="Rectangle: Rounded Corners 5">
          <a:extLst>
            <a:ext uri="{FF2B5EF4-FFF2-40B4-BE49-F238E27FC236}">
              <a16:creationId xmlns:a16="http://schemas.microsoft.com/office/drawing/2014/main" id="{82E4D945-DB1A-4C16-B00D-D5F8D3DC0F02}"/>
            </a:ext>
          </a:extLst>
        </xdr:cNvPr>
        <xdr:cNvSpPr/>
      </xdr:nvSpPr>
      <xdr:spPr>
        <a:xfrm>
          <a:off x="3282964" y="1546274"/>
          <a:ext cx="2293258" cy="362076"/>
        </a:xfrm>
        <a:prstGeom prst="roundRect">
          <a:avLst/>
        </a:prstGeom>
        <a:solidFill>
          <a:schemeClr val="bg1"/>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lvl="0" algn="ctr"/>
          <a:r>
            <a:rPr lang="en-IN" sz="2400" b="0" u="none" cap="none" spc="0">
              <a:ln w="0"/>
              <a:solidFill>
                <a:schemeClr val="tx1"/>
              </a:solidFill>
              <a:effectLst/>
              <a:latin typeface="+mj-lt"/>
            </a:rPr>
            <a:t>Average Price </a:t>
          </a:r>
          <a:endParaRPr lang="en-IN" sz="2000" b="0" u="none" cap="none" spc="0">
            <a:ln w="0"/>
            <a:solidFill>
              <a:schemeClr val="tx1"/>
            </a:solidFill>
            <a:effectLst/>
            <a:latin typeface="+mj-lt"/>
          </a:endParaRPr>
        </a:p>
      </xdr:txBody>
    </xdr:sp>
    <xdr:clientData/>
  </xdr:twoCellAnchor>
  <xdr:twoCellAnchor>
    <xdr:from>
      <xdr:col>10</xdr:col>
      <xdr:colOff>545701</xdr:colOff>
      <xdr:row>7</xdr:row>
      <xdr:rowOff>121333</xdr:rowOff>
    </xdr:from>
    <xdr:to>
      <xdr:col>16</xdr:col>
      <xdr:colOff>117530</xdr:colOff>
      <xdr:row>13</xdr:row>
      <xdr:rowOff>53387</xdr:rowOff>
    </xdr:to>
    <xdr:sp macro="" textlink="'Pivot chart'!M77">
      <xdr:nvSpPr>
        <xdr:cNvPr id="8" name="Rectangle: Rounded Corners 7">
          <a:extLst>
            <a:ext uri="{FF2B5EF4-FFF2-40B4-BE49-F238E27FC236}">
              <a16:creationId xmlns:a16="http://schemas.microsoft.com/office/drawing/2014/main" id="{2ED970FB-0D85-4C08-80B6-F5CF062FC851}"/>
            </a:ext>
          </a:extLst>
        </xdr:cNvPr>
        <xdr:cNvSpPr/>
      </xdr:nvSpPr>
      <xdr:spPr>
        <a:xfrm>
          <a:off x="6641701" y="1434318"/>
          <a:ext cx="3229429" cy="1057469"/>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4505</a:t>
          </a:r>
          <a:r>
            <a:rPr lang="en-US" sz="2400" b="0" i="0" u="none" strike="noStrike" baseline="0">
              <a:solidFill>
                <a:srgbClr val="000000"/>
              </a:solidFill>
              <a:latin typeface="Calibri"/>
              <a:ea typeface="Calibri"/>
              <a:cs typeface="Calibri"/>
            </a:rPr>
            <a:t>  </a:t>
          </a:r>
          <a:endParaRPr lang="en-US" sz="2400"/>
        </a:p>
      </xdr:txBody>
    </xdr:sp>
    <xdr:clientData/>
  </xdr:twoCellAnchor>
  <xdr:twoCellAnchor>
    <xdr:from>
      <xdr:col>17</xdr:col>
      <xdr:colOff>225343</xdr:colOff>
      <xdr:row>8</xdr:row>
      <xdr:rowOff>0</xdr:rowOff>
    </xdr:from>
    <xdr:to>
      <xdr:col>22</xdr:col>
      <xdr:colOff>515815</xdr:colOff>
      <xdr:row>13</xdr:row>
      <xdr:rowOff>27539</xdr:rowOff>
    </xdr:to>
    <xdr:sp macro="" textlink="">
      <xdr:nvSpPr>
        <xdr:cNvPr id="11" name="Rectangle: Rounded Corners 10">
          <a:extLst>
            <a:ext uri="{FF2B5EF4-FFF2-40B4-BE49-F238E27FC236}">
              <a16:creationId xmlns:a16="http://schemas.microsoft.com/office/drawing/2014/main" id="{F1B92DA9-D048-4719-B63E-2D44C2DF7E0B}"/>
            </a:ext>
          </a:extLst>
        </xdr:cNvPr>
        <xdr:cNvSpPr/>
      </xdr:nvSpPr>
      <xdr:spPr>
        <a:xfrm>
          <a:off x="10588543" y="1500554"/>
          <a:ext cx="3338472" cy="965385"/>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tx1"/>
              </a:solidFill>
              <a:latin typeface="+mj-lt"/>
            </a:rPr>
            <a:t>   15.93</a:t>
          </a:r>
        </a:p>
      </xdr:txBody>
    </xdr:sp>
    <xdr:clientData/>
  </xdr:twoCellAnchor>
  <xdr:twoCellAnchor>
    <xdr:from>
      <xdr:col>24</xdr:col>
      <xdr:colOff>316524</xdr:colOff>
      <xdr:row>7</xdr:row>
      <xdr:rowOff>128953</xdr:rowOff>
    </xdr:from>
    <xdr:to>
      <xdr:col>29</xdr:col>
      <xdr:colOff>490695</xdr:colOff>
      <xdr:row>13</xdr:row>
      <xdr:rowOff>63081</xdr:rowOff>
    </xdr:to>
    <xdr:sp macro="" textlink="'Pivot chart'!B79">
      <xdr:nvSpPr>
        <xdr:cNvPr id="14" name="Rectangle: Rounded Corners 13">
          <a:extLst>
            <a:ext uri="{FF2B5EF4-FFF2-40B4-BE49-F238E27FC236}">
              <a16:creationId xmlns:a16="http://schemas.microsoft.com/office/drawing/2014/main" id="{FB7B19D5-776F-41D4-8F77-109E0C250041}"/>
            </a:ext>
          </a:extLst>
        </xdr:cNvPr>
        <xdr:cNvSpPr/>
      </xdr:nvSpPr>
      <xdr:spPr>
        <a:xfrm>
          <a:off x="14946924" y="1441938"/>
          <a:ext cx="3222171" cy="1059543"/>
        </a:xfrm>
        <a:prstGeom prst="roundRect">
          <a:avLst>
            <a:gd name="adj" fmla="val 0"/>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4.21</a:t>
          </a:r>
          <a:endParaRPr lang="en-US" sz="2400"/>
        </a:p>
      </xdr:txBody>
    </xdr:sp>
    <xdr:clientData/>
  </xdr:twoCellAnchor>
  <xdr:twoCellAnchor>
    <xdr:from>
      <xdr:col>25</xdr:col>
      <xdr:colOff>91433</xdr:colOff>
      <xdr:row>8</xdr:row>
      <xdr:rowOff>15804</xdr:rowOff>
    </xdr:from>
    <xdr:to>
      <xdr:col>29</xdr:col>
      <xdr:colOff>338177</xdr:colOff>
      <xdr:row>10</xdr:row>
      <xdr:rowOff>124662</xdr:rowOff>
    </xdr:to>
    <xdr:sp macro="" textlink="">
      <xdr:nvSpPr>
        <xdr:cNvPr id="15" name="Rectangle: Rounded Corners 14">
          <a:extLst>
            <a:ext uri="{FF2B5EF4-FFF2-40B4-BE49-F238E27FC236}">
              <a16:creationId xmlns:a16="http://schemas.microsoft.com/office/drawing/2014/main" id="{415BC47C-8584-44AE-9E29-9A5A40B1CD3A}"/>
            </a:ext>
          </a:extLst>
        </xdr:cNvPr>
        <xdr:cNvSpPr/>
      </xdr:nvSpPr>
      <xdr:spPr>
        <a:xfrm>
          <a:off x="15331433" y="1516358"/>
          <a:ext cx="2685144" cy="483996"/>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l"/>
          <a:r>
            <a:rPr lang="en-IN" sz="2000" baseline="0">
              <a:solidFill>
                <a:schemeClr val="tx1"/>
              </a:solidFill>
              <a:latin typeface="+mj-lt"/>
            </a:rPr>
            <a:t>      </a:t>
          </a:r>
          <a:r>
            <a:rPr lang="en-IN" sz="2400">
              <a:solidFill>
                <a:schemeClr val="tx1"/>
              </a:solidFill>
              <a:latin typeface="+mj-lt"/>
            </a:rPr>
            <a:t>Average </a:t>
          </a:r>
          <a:r>
            <a:rPr lang="en-IN" sz="2400" b="0" i="0">
              <a:solidFill>
                <a:schemeClr val="tx1"/>
              </a:solidFill>
              <a:latin typeface="+mj-lt"/>
            </a:rPr>
            <a:t>Rating</a:t>
          </a:r>
          <a:r>
            <a:rPr lang="en-IN" sz="2400">
              <a:solidFill>
                <a:schemeClr val="tx1"/>
              </a:solidFill>
              <a:latin typeface="+mj-lt"/>
            </a:rPr>
            <a:t>  </a:t>
          </a:r>
          <a:endParaRPr lang="en-IN" sz="2000">
            <a:solidFill>
              <a:schemeClr val="tx1"/>
            </a:solidFill>
            <a:latin typeface="+mj-lt"/>
          </a:endParaRPr>
        </a:p>
      </xdr:txBody>
    </xdr:sp>
    <xdr:clientData/>
  </xdr:twoCellAnchor>
  <xdr:twoCellAnchor editAs="oneCell">
    <xdr:from>
      <xdr:col>26</xdr:col>
      <xdr:colOff>445638</xdr:colOff>
      <xdr:row>14</xdr:row>
      <xdr:rowOff>87588</xdr:rowOff>
    </xdr:from>
    <xdr:to>
      <xdr:col>31</xdr:col>
      <xdr:colOff>359102</xdr:colOff>
      <xdr:row>23</xdr:row>
      <xdr:rowOff>80754</xdr:rowOff>
    </xdr:to>
    <mc:AlternateContent xmlns:mc="http://schemas.openxmlformats.org/markup-compatibility/2006" xmlns:a14="http://schemas.microsoft.com/office/drawing/2010/main">
      <mc:Choice Requires="a14">
        <xdr:graphicFrame macro="">
          <xdr:nvGraphicFramePr>
            <xdr:cNvPr id="17" name="Year 3">
              <a:extLst>
                <a:ext uri="{FF2B5EF4-FFF2-40B4-BE49-F238E27FC236}">
                  <a16:creationId xmlns:a16="http://schemas.microsoft.com/office/drawing/2014/main" id="{533B6AEC-7DC0-46D8-8D68-243D32DFA844}"/>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386328" y="2662622"/>
              <a:ext cx="2978981" cy="1648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444500</xdr:colOff>
      <xdr:row>14</xdr:row>
      <xdr:rowOff>121920</xdr:rowOff>
    </xdr:from>
    <xdr:to>
      <xdr:col>15</xdr:col>
      <xdr:colOff>228600</xdr:colOff>
      <xdr:row>23</xdr:row>
      <xdr:rowOff>121920</xdr:rowOff>
    </xdr:to>
    <mc:AlternateContent xmlns:mc="http://schemas.openxmlformats.org/markup-compatibility/2006" xmlns:a14="http://schemas.microsoft.com/office/drawing/2010/main">
      <mc:Choice Requires="a14">
        <xdr:graphicFrame macro="">
          <xdr:nvGraphicFramePr>
            <xdr:cNvPr id="19" name="Brand 2">
              <a:extLst>
                <a:ext uri="{FF2B5EF4-FFF2-40B4-BE49-F238E27FC236}">
                  <a16:creationId xmlns:a16="http://schemas.microsoft.com/office/drawing/2014/main" id="{8CE2D536-3D72-4045-8605-177237E98C28}"/>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2882901" y="2725420"/>
              <a:ext cx="8039100" cy="1595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166414</xdr:colOff>
      <xdr:row>14</xdr:row>
      <xdr:rowOff>125660</xdr:rowOff>
    </xdr:from>
    <xdr:to>
      <xdr:col>21</xdr:col>
      <xdr:colOff>12087</xdr:colOff>
      <xdr:row>23</xdr:row>
      <xdr:rowOff>78827</xdr:rowOff>
    </xdr:to>
    <mc:AlternateContent xmlns:mc="http://schemas.openxmlformats.org/markup-compatibility/2006" xmlns:a14="http://schemas.microsoft.com/office/drawing/2010/main">
      <mc:Choice Requires="a14">
        <xdr:graphicFrame macro="">
          <xdr:nvGraphicFramePr>
            <xdr:cNvPr id="20" name="Category 3">
              <a:extLst>
                <a:ext uri="{FF2B5EF4-FFF2-40B4-BE49-F238E27FC236}">
                  <a16:creationId xmlns:a16="http://schemas.microsoft.com/office/drawing/2014/main" id="{332B2C81-FC25-4A69-B6DB-A6626411BEA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976069" y="2700694"/>
              <a:ext cx="2911190" cy="1608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167640</xdr:colOff>
      <xdr:row>14</xdr:row>
      <xdr:rowOff>87587</xdr:rowOff>
    </xdr:from>
    <xdr:to>
      <xdr:col>26</xdr:col>
      <xdr:colOff>137160</xdr:colOff>
      <xdr:row>23</xdr:row>
      <xdr:rowOff>61310</xdr:rowOff>
    </xdr:to>
    <mc:AlternateContent xmlns:mc="http://schemas.openxmlformats.org/markup-compatibility/2006" xmlns:a14="http://schemas.microsoft.com/office/drawing/2010/main">
      <mc:Choice Requires="a14">
        <xdr:graphicFrame macro="">
          <xdr:nvGraphicFramePr>
            <xdr:cNvPr id="26" name="5G Support 2">
              <a:extLst>
                <a:ext uri="{FF2B5EF4-FFF2-40B4-BE49-F238E27FC236}">
                  <a16:creationId xmlns:a16="http://schemas.microsoft.com/office/drawing/2014/main" id="{1675424D-3BFE-42F4-8F91-39D4A074039D}"/>
                </a:ext>
              </a:extLst>
            </xdr:cNvPr>
            <xdr:cNvGraphicFramePr/>
          </xdr:nvGraphicFramePr>
          <xdr:xfrm>
            <a:off x="0" y="0"/>
            <a:ext cx="0" cy="0"/>
          </xdr:xfrm>
          <a:graphic>
            <a:graphicData uri="http://schemas.microsoft.com/office/drawing/2010/slicer">
              <sle:slicer xmlns:sle="http://schemas.microsoft.com/office/drawing/2010/slicer" name="5G Support 2"/>
            </a:graphicData>
          </a:graphic>
        </xdr:graphicFrame>
      </mc:Choice>
      <mc:Fallback xmlns="">
        <xdr:sp macro="" textlink="">
          <xdr:nvSpPr>
            <xdr:cNvPr id="0" name=""/>
            <xdr:cNvSpPr>
              <a:spLocks noTextEdit="1"/>
            </xdr:cNvSpPr>
          </xdr:nvSpPr>
          <xdr:spPr>
            <a:xfrm>
              <a:off x="13578840" y="2816860"/>
              <a:ext cx="240792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425198</xdr:colOff>
      <xdr:row>8</xdr:row>
      <xdr:rowOff>82060</xdr:rowOff>
    </xdr:from>
    <xdr:to>
      <xdr:col>22</xdr:col>
      <xdr:colOff>196598</xdr:colOff>
      <xdr:row>10</xdr:row>
      <xdr:rowOff>138951</xdr:rowOff>
    </xdr:to>
    <xdr:sp macro="" textlink="">
      <xdr:nvSpPr>
        <xdr:cNvPr id="27" name="Rectangle: Rounded Corners 26">
          <a:extLst>
            <a:ext uri="{FF2B5EF4-FFF2-40B4-BE49-F238E27FC236}">
              <a16:creationId xmlns:a16="http://schemas.microsoft.com/office/drawing/2014/main" id="{133E7036-5FD8-EE45-F381-24FE05B438EE}"/>
            </a:ext>
          </a:extLst>
        </xdr:cNvPr>
        <xdr:cNvSpPr/>
      </xdr:nvSpPr>
      <xdr:spPr>
        <a:xfrm>
          <a:off x="10788398" y="1582614"/>
          <a:ext cx="2819400" cy="432029"/>
        </a:xfrm>
        <a:prstGeom prst="roundRect">
          <a:avLst>
            <a:gd name="adj" fmla="val 11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mj-lt"/>
            </a:rPr>
            <a:t>   Average</a:t>
          </a:r>
          <a:r>
            <a:rPr lang="en-IN" sz="2400" baseline="0">
              <a:solidFill>
                <a:schemeClr val="tx1"/>
              </a:solidFill>
              <a:latin typeface="+mj-lt"/>
            </a:rPr>
            <a:t> Discount</a:t>
          </a:r>
          <a:endParaRPr lang="en-IN" sz="2400">
            <a:solidFill>
              <a:schemeClr val="tx1"/>
            </a:solidFill>
            <a:latin typeface="+mj-lt"/>
          </a:endParaRPr>
        </a:p>
      </xdr:txBody>
    </xdr:sp>
    <xdr:clientData/>
  </xdr:twoCellAnchor>
  <xdr:twoCellAnchor>
    <xdr:from>
      <xdr:col>11</xdr:col>
      <xdr:colOff>201611</xdr:colOff>
      <xdr:row>8</xdr:row>
      <xdr:rowOff>93300</xdr:rowOff>
    </xdr:from>
    <xdr:to>
      <xdr:col>15</xdr:col>
      <xdr:colOff>457187</xdr:colOff>
      <xdr:row>10</xdr:row>
      <xdr:rowOff>169500</xdr:rowOff>
    </xdr:to>
    <xdr:sp macro="" textlink="">
      <xdr:nvSpPr>
        <xdr:cNvPr id="36" name="Rectangle: Rounded Corners 35">
          <a:extLst>
            <a:ext uri="{FF2B5EF4-FFF2-40B4-BE49-F238E27FC236}">
              <a16:creationId xmlns:a16="http://schemas.microsoft.com/office/drawing/2014/main" id="{36AE9412-5CCD-C8B8-29F7-B87C2D2AFDAF}"/>
            </a:ext>
          </a:extLst>
        </xdr:cNvPr>
        <xdr:cNvSpPr/>
      </xdr:nvSpPr>
      <xdr:spPr>
        <a:xfrm>
          <a:off x="6907211" y="1593854"/>
          <a:ext cx="2693976" cy="4513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mj-lt"/>
            </a:rPr>
            <a:t>          Battery Capacity</a:t>
          </a:r>
        </a:p>
      </xdr:txBody>
    </xdr:sp>
    <xdr:clientData/>
  </xdr:twoCellAnchor>
  <xdr:twoCellAnchor>
    <xdr:from>
      <xdr:col>4</xdr:col>
      <xdr:colOff>533400</xdr:colOff>
      <xdr:row>24</xdr:row>
      <xdr:rowOff>106680</xdr:rowOff>
    </xdr:from>
    <xdr:to>
      <xdr:col>15</xdr:col>
      <xdr:colOff>91440</xdr:colOff>
      <xdr:row>27</xdr:row>
      <xdr:rowOff>76200</xdr:rowOff>
    </xdr:to>
    <xdr:sp macro="" textlink="">
      <xdr:nvSpPr>
        <xdr:cNvPr id="37" name="Rectangle: Rounded Corners 36">
          <a:extLst>
            <a:ext uri="{FF2B5EF4-FFF2-40B4-BE49-F238E27FC236}">
              <a16:creationId xmlns:a16="http://schemas.microsoft.com/office/drawing/2014/main" id="{DA7440B3-01D3-AB24-D680-928000997799}"/>
            </a:ext>
          </a:extLst>
        </xdr:cNvPr>
        <xdr:cNvSpPr/>
      </xdr:nvSpPr>
      <xdr:spPr>
        <a:xfrm>
          <a:off x="2971800" y="4495800"/>
          <a:ext cx="6263640" cy="51816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mj-lt"/>
            </a:rPr>
            <a:t>                 Average Price</a:t>
          </a:r>
          <a:r>
            <a:rPr lang="en-IN" sz="2400" baseline="0">
              <a:solidFill>
                <a:schemeClr val="tx1"/>
              </a:solidFill>
              <a:latin typeface="+mj-lt"/>
            </a:rPr>
            <a:t> By Category</a:t>
          </a:r>
          <a:endParaRPr lang="en-IN" sz="2400">
            <a:solidFill>
              <a:schemeClr val="tx1"/>
            </a:solidFill>
            <a:latin typeface="+mj-lt"/>
          </a:endParaRPr>
        </a:p>
      </xdr:txBody>
    </xdr:sp>
    <xdr:clientData/>
  </xdr:twoCellAnchor>
  <xdr:twoCellAnchor>
    <xdr:from>
      <xdr:col>4</xdr:col>
      <xdr:colOff>502920</xdr:colOff>
      <xdr:row>28</xdr:row>
      <xdr:rowOff>0</xdr:rowOff>
    </xdr:from>
    <xdr:to>
      <xdr:col>14</xdr:col>
      <xdr:colOff>594360</xdr:colOff>
      <xdr:row>41</xdr:row>
      <xdr:rowOff>151130</xdr:rowOff>
    </xdr:to>
    <xdr:graphicFrame macro="">
      <xdr:nvGraphicFramePr>
        <xdr:cNvPr id="38" name="Chart 37">
          <a:extLst>
            <a:ext uri="{FF2B5EF4-FFF2-40B4-BE49-F238E27FC236}">
              <a16:creationId xmlns:a16="http://schemas.microsoft.com/office/drawing/2014/main" id="{0BD5B29D-CA30-4610-BA3A-85A318CE6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470687</xdr:colOff>
      <xdr:row>24</xdr:row>
      <xdr:rowOff>126474</xdr:rowOff>
    </xdr:from>
    <xdr:to>
      <xdr:col>27</xdr:col>
      <xdr:colOff>162384</xdr:colOff>
      <xdr:row>27</xdr:row>
      <xdr:rowOff>50274</xdr:rowOff>
    </xdr:to>
    <xdr:sp macro="" textlink="">
      <xdr:nvSpPr>
        <xdr:cNvPr id="39" name="Rectangle: Rounded Corners 38">
          <a:extLst>
            <a:ext uri="{FF2B5EF4-FFF2-40B4-BE49-F238E27FC236}">
              <a16:creationId xmlns:a16="http://schemas.microsoft.com/office/drawing/2014/main" id="{11913CE1-A3B5-17AA-21B8-7F0A5E996CD9}"/>
            </a:ext>
          </a:extLst>
        </xdr:cNvPr>
        <xdr:cNvSpPr/>
      </xdr:nvSpPr>
      <xdr:spPr>
        <a:xfrm>
          <a:off x="10893446" y="4540819"/>
          <a:ext cx="5822731" cy="47559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mj-lt"/>
            </a:rPr>
            <a:t>             </a:t>
          </a:r>
          <a:r>
            <a:rPr lang="en-IN" sz="2400">
              <a:solidFill>
                <a:schemeClr val="tx1"/>
              </a:solidFill>
              <a:latin typeface="+mj-lt"/>
            </a:rPr>
            <a:t>Average Rating By </a:t>
          </a:r>
          <a:r>
            <a:rPr lang="en-IN" sz="2400" baseline="0">
              <a:solidFill>
                <a:schemeClr val="tx1"/>
              </a:solidFill>
              <a:latin typeface="+mj-lt"/>
            </a:rPr>
            <a:t> Category</a:t>
          </a:r>
          <a:endParaRPr lang="en-IN" sz="2400">
            <a:solidFill>
              <a:schemeClr val="tx1"/>
            </a:solidFill>
            <a:latin typeface="+mj-lt"/>
          </a:endParaRPr>
        </a:p>
      </xdr:txBody>
    </xdr:sp>
    <xdr:clientData/>
  </xdr:twoCellAnchor>
  <xdr:twoCellAnchor>
    <xdr:from>
      <xdr:col>17</xdr:col>
      <xdr:colOff>559076</xdr:colOff>
      <xdr:row>27</xdr:row>
      <xdr:rowOff>173457</xdr:rowOff>
    </xdr:from>
    <xdr:to>
      <xdr:col>27</xdr:col>
      <xdr:colOff>217666</xdr:colOff>
      <xdr:row>42</xdr:row>
      <xdr:rowOff>82016</xdr:rowOff>
    </xdr:to>
    <xdr:graphicFrame macro="">
      <xdr:nvGraphicFramePr>
        <xdr:cNvPr id="40" name="Chart 39">
          <a:extLst>
            <a:ext uri="{FF2B5EF4-FFF2-40B4-BE49-F238E27FC236}">
              <a16:creationId xmlns:a16="http://schemas.microsoft.com/office/drawing/2014/main" id="{13E0FFA1-1D49-4895-A4D7-ACB3C915C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569311</xdr:colOff>
      <xdr:row>43</xdr:row>
      <xdr:rowOff>5886</xdr:rowOff>
    </xdr:from>
    <xdr:to>
      <xdr:col>27</xdr:col>
      <xdr:colOff>238477</xdr:colOff>
      <xdr:row>45</xdr:row>
      <xdr:rowOff>113863</xdr:rowOff>
    </xdr:to>
    <xdr:sp macro="" textlink="">
      <xdr:nvSpPr>
        <xdr:cNvPr id="43" name="Rectangle: Rounded Corners 42">
          <a:extLst>
            <a:ext uri="{FF2B5EF4-FFF2-40B4-BE49-F238E27FC236}">
              <a16:creationId xmlns:a16="http://schemas.microsoft.com/office/drawing/2014/main" id="{EEFB28B4-F307-7E29-E475-0647A7D0D2D1}"/>
            </a:ext>
          </a:extLst>
        </xdr:cNvPr>
        <xdr:cNvSpPr/>
      </xdr:nvSpPr>
      <xdr:spPr>
        <a:xfrm>
          <a:off x="10992070" y="7914920"/>
          <a:ext cx="5800200" cy="4758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mj-lt"/>
            </a:rPr>
            <a:t>                    5G</a:t>
          </a:r>
          <a:r>
            <a:rPr lang="en-IN" sz="2400" baseline="0">
              <a:solidFill>
                <a:schemeClr val="tx1"/>
              </a:solidFill>
              <a:latin typeface="+mj-lt"/>
            </a:rPr>
            <a:t> vs Non-5G Model </a:t>
          </a:r>
          <a:endParaRPr lang="en-IN" sz="2400">
            <a:solidFill>
              <a:schemeClr val="tx1"/>
            </a:solidFill>
            <a:latin typeface="+mj-lt"/>
          </a:endParaRPr>
        </a:p>
      </xdr:txBody>
    </xdr:sp>
    <xdr:clientData/>
  </xdr:twoCellAnchor>
  <xdr:twoCellAnchor>
    <xdr:from>
      <xdr:col>4</xdr:col>
      <xdr:colOff>563880</xdr:colOff>
      <xdr:row>42</xdr:row>
      <xdr:rowOff>137160</xdr:rowOff>
    </xdr:from>
    <xdr:to>
      <xdr:col>14</xdr:col>
      <xdr:colOff>548640</xdr:colOff>
      <xdr:row>45</xdr:row>
      <xdr:rowOff>30480</xdr:rowOff>
    </xdr:to>
    <xdr:sp macro="" textlink="">
      <xdr:nvSpPr>
        <xdr:cNvPr id="44" name="Rectangle: Rounded Corners 43">
          <a:extLst>
            <a:ext uri="{FF2B5EF4-FFF2-40B4-BE49-F238E27FC236}">
              <a16:creationId xmlns:a16="http://schemas.microsoft.com/office/drawing/2014/main" id="{69C3AFCD-54B0-A856-1573-CA07B7DE5325}"/>
            </a:ext>
          </a:extLst>
        </xdr:cNvPr>
        <xdr:cNvSpPr/>
      </xdr:nvSpPr>
      <xdr:spPr>
        <a:xfrm>
          <a:off x="2965837" y="7964225"/>
          <a:ext cx="5989651" cy="45239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mj-lt"/>
            </a:rPr>
            <a:t>               Battery Capacity By Category</a:t>
          </a:r>
        </a:p>
      </xdr:txBody>
    </xdr:sp>
    <xdr:clientData/>
  </xdr:twoCellAnchor>
  <xdr:twoCellAnchor>
    <xdr:from>
      <xdr:col>18</xdr:col>
      <xdr:colOff>48137</xdr:colOff>
      <xdr:row>46</xdr:row>
      <xdr:rowOff>59398</xdr:rowOff>
    </xdr:from>
    <xdr:to>
      <xdr:col>27</xdr:col>
      <xdr:colOff>227723</xdr:colOff>
      <xdr:row>63</xdr:row>
      <xdr:rowOff>8759</xdr:rowOff>
    </xdr:to>
    <xdr:graphicFrame macro="">
      <xdr:nvGraphicFramePr>
        <xdr:cNvPr id="9" name="Chart 8">
          <a:extLst>
            <a:ext uri="{FF2B5EF4-FFF2-40B4-BE49-F238E27FC236}">
              <a16:creationId xmlns:a16="http://schemas.microsoft.com/office/drawing/2014/main" id="{C583F76D-A9BB-4526-9711-F3E837EBC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63351</xdr:colOff>
      <xdr:row>46</xdr:row>
      <xdr:rowOff>14978</xdr:rowOff>
    </xdr:from>
    <xdr:to>
      <xdr:col>14</xdr:col>
      <xdr:colOff>563020</xdr:colOff>
      <xdr:row>63</xdr:row>
      <xdr:rowOff>34819</xdr:rowOff>
    </xdr:to>
    <xdr:graphicFrame macro="">
      <xdr:nvGraphicFramePr>
        <xdr:cNvPr id="12" name="Chart 11">
          <a:extLst>
            <a:ext uri="{FF2B5EF4-FFF2-40B4-BE49-F238E27FC236}">
              <a16:creationId xmlns:a16="http://schemas.microsoft.com/office/drawing/2014/main" id="{C3B77B92-7CCE-4C81-AC4C-3B787E281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1</xdr:row>
      <xdr:rowOff>118110</xdr:rowOff>
    </xdr:from>
    <xdr:to>
      <xdr:col>8</xdr:col>
      <xdr:colOff>358140</xdr:colOff>
      <xdr:row>13</xdr:row>
      <xdr:rowOff>167640</xdr:rowOff>
    </xdr:to>
    <xdr:graphicFrame macro="">
      <xdr:nvGraphicFramePr>
        <xdr:cNvPr id="2" name="Chart 1">
          <a:extLst>
            <a:ext uri="{FF2B5EF4-FFF2-40B4-BE49-F238E27FC236}">
              <a16:creationId xmlns:a16="http://schemas.microsoft.com/office/drawing/2014/main" id="{6848E1BC-0011-302E-7071-E3E6CA73D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449580</xdr:colOff>
      <xdr:row>35</xdr:row>
      <xdr:rowOff>22860</xdr:rowOff>
    </xdr:from>
    <xdr:to>
      <xdr:col>8</xdr:col>
      <xdr:colOff>419100</xdr:colOff>
      <xdr:row>47</xdr:row>
      <xdr:rowOff>30480</xdr:rowOff>
    </xdr:to>
    <xdr:graphicFrame macro="">
      <xdr:nvGraphicFramePr>
        <xdr:cNvPr id="4" name="Chart 3">
          <a:extLst>
            <a:ext uri="{FF2B5EF4-FFF2-40B4-BE49-F238E27FC236}">
              <a16:creationId xmlns:a16="http://schemas.microsoft.com/office/drawing/2014/main" id="{F0E3B7CA-327B-6A34-34D6-6A5181330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480060</xdr:colOff>
      <xdr:row>1</xdr:row>
      <xdr:rowOff>45720</xdr:rowOff>
    </xdr:from>
    <xdr:to>
      <xdr:col>14</xdr:col>
      <xdr:colOff>228600</xdr:colOff>
      <xdr:row>10</xdr:row>
      <xdr:rowOff>106680</xdr:rowOff>
    </xdr:to>
    <xdr:graphicFrame macro="">
      <xdr:nvGraphicFramePr>
        <xdr:cNvPr id="5" name="Chart 4">
          <a:extLst>
            <a:ext uri="{FF2B5EF4-FFF2-40B4-BE49-F238E27FC236}">
              <a16:creationId xmlns:a16="http://schemas.microsoft.com/office/drawing/2014/main" id="{91DEB0D8-BF9D-F709-2F9B-D6892C1AB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198120</xdr:colOff>
      <xdr:row>12</xdr:row>
      <xdr:rowOff>83820</xdr:rowOff>
    </xdr:from>
    <xdr:to>
      <xdr:col>18</xdr:col>
      <xdr:colOff>83820</xdr:colOff>
      <xdr:row>27</xdr:row>
      <xdr:rowOff>106680</xdr:rowOff>
    </xdr:to>
    <xdr:graphicFrame macro="">
      <xdr:nvGraphicFramePr>
        <xdr:cNvPr id="6" name="Chart 5">
          <a:extLst>
            <a:ext uri="{FF2B5EF4-FFF2-40B4-BE49-F238E27FC236}">
              <a16:creationId xmlns:a16="http://schemas.microsoft.com/office/drawing/2014/main" id="{32AC34B2-0959-A77C-41DB-B5C03C8B4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1173480</xdr:colOff>
      <xdr:row>25</xdr:row>
      <xdr:rowOff>160020</xdr:rowOff>
    </xdr:from>
    <xdr:to>
      <xdr:col>11</xdr:col>
      <xdr:colOff>1447800</xdr:colOff>
      <xdr:row>39</xdr:row>
      <xdr:rowOff>51435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66924005-8739-C56B-2628-E78D4D36EBF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503920" y="477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34</xdr:row>
      <xdr:rowOff>30480</xdr:rowOff>
    </xdr:from>
    <xdr:to>
      <xdr:col>10</xdr:col>
      <xdr:colOff>1145700</xdr:colOff>
      <xdr:row>47</xdr:row>
      <xdr:rowOff>36195</xdr:rowOff>
    </xdr:to>
    <mc:AlternateContent xmlns:mc="http://schemas.openxmlformats.org/markup-compatibility/2006" xmlns:a14="http://schemas.microsoft.com/office/drawing/2010/main">
      <mc:Choice Requires="a14">
        <xdr:graphicFrame macro="">
          <xdr:nvGraphicFramePr>
            <xdr:cNvPr id="8" name="Brand">
              <a:extLst>
                <a:ext uri="{FF2B5EF4-FFF2-40B4-BE49-F238E27FC236}">
                  <a16:creationId xmlns:a16="http://schemas.microsoft.com/office/drawing/2014/main" id="{85C561C3-34AD-F642-AF2A-3B2774D8DF2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873240" y="6294120"/>
              <a:ext cx="1641000" cy="2398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25</xdr:row>
      <xdr:rowOff>160021</xdr:rowOff>
    </xdr:from>
    <xdr:to>
      <xdr:col>10</xdr:col>
      <xdr:colOff>1013460</xdr:colOff>
      <xdr:row>32</xdr:row>
      <xdr:rowOff>15240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C5B6E54-0C9F-776A-60A2-8ED08DC5E4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53200" y="473202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xdr:row>
      <xdr:rowOff>68581</xdr:rowOff>
    </xdr:from>
    <xdr:to>
      <xdr:col>16</xdr:col>
      <xdr:colOff>459740</xdr:colOff>
      <xdr:row>10</xdr:row>
      <xdr:rowOff>152400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90AB1CF2-4FDE-0156-85D9-5C650D658C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77700" y="251461"/>
              <a:ext cx="182880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51</xdr:row>
      <xdr:rowOff>0</xdr:rowOff>
    </xdr:from>
    <xdr:to>
      <xdr:col>10</xdr:col>
      <xdr:colOff>229446</xdr:colOff>
      <xdr:row>65</xdr:row>
      <xdr:rowOff>9314</xdr:rowOff>
    </xdr:to>
    <xdr:graphicFrame macro="">
      <xdr:nvGraphicFramePr>
        <xdr:cNvPr id="11" name="Chart 10">
          <a:extLst>
            <a:ext uri="{FF2B5EF4-FFF2-40B4-BE49-F238E27FC236}">
              <a16:creationId xmlns:a16="http://schemas.microsoft.com/office/drawing/2014/main" id="{E2A00BFB-6B0C-4144-9F03-A6E85F426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67</xdr:row>
      <xdr:rowOff>0</xdr:rowOff>
    </xdr:from>
    <xdr:to>
      <xdr:col>10</xdr:col>
      <xdr:colOff>579120</xdr:colOff>
      <xdr:row>78</xdr:row>
      <xdr:rowOff>116840</xdr:rowOff>
    </xdr:to>
    <xdr:graphicFrame macro="">
      <xdr:nvGraphicFramePr>
        <xdr:cNvPr id="13" name="Chart 12">
          <a:extLst>
            <a:ext uri="{FF2B5EF4-FFF2-40B4-BE49-F238E27FC236}">
              <a16:creationId xmlns:a16="http://schemas.microsoft.com/office/drawing/2014/main" id="{8E5B44A5-9807-40F1-92C1-020BDBC0B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327660</xdr:colOff>
      <xdr:row>80</xdr:row>
      <xdr:rowOff>53340</xdr:rowOff>
    </xdr:from>
    <xdr:to>
      <xdr:col>10</xdr:col>
      <xdr:colOff>1257300</xdr:colOff>
      <xdr:row>92</xdr:row>
      <xdr:rowOff>167640</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65A204A2-E235-54FF-1231-CA71E29B285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797040" y="14775180"/>
              <a:ext cx="182880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81</xdr:row>
      <xdr:rowOff>76201</xdr:rowOff>
    </xdr:from>
    <xdr:to>
      <xdr:col>9</xdr:col>
      <xdr:colOff>114300</xdr:colOff>
      <xdr:row>89</xdr:row>
      <xdr:rowOff>76201</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BFECF82F-ADA7-ABA3-DFEC-D3C7AABA4A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754880" y="149809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464820</xdr:colOff>
      <xdr:row>79</xdr:row>
      <xdr:rowOff>129541</xdr:rowOff>
    </xdr:from>
    <xdr:to>
      <xdr:col>5</xdr:col>
      <xdr:colOff>464820</xdr:colOff>
      <xdr:row>91</xdr:row>
      <xdr:rowOff>1</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304EB8D8-CF07-64A9-6C7F-8073E601C1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67000" y="1466850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82</xdr:row>
      <xdr:rowOff>1</xdr:rowOff>
    </xdr:from>
    <xdr:to>
      <xdr:col>1</xdr:col>
      <xdr:colOff>1173480</xdr:colOff>
      <xdr:row>87</xdr:row>
      <xdr:rowOff>60960</xdr:rowOff>
    </xdr:to>
    <mc:AlternateContent xmlns:mc="http://schemas.openxmlformats.org/markup-compatibility/2006" xmlns:a14="http://schemas.microsoft.com/office/drawing/2010/main">
      <mc:Choice Requires="a14">
        <xdr:graphicFrame macro="">
          <xdr:nvGraphicFramePr>
            <xdr:cNvPr id="19" name="5G Support">
              <a:extLst>
                <a:ext uri="{FF2B5EF4-FFF2-40B4-BE49-F238E27FC236}">
                  <a16:creationId xmlns:a16="http://schemas.microsoft.com/office/drawing/2014/main" id="{6D7CDDD8-BAF9-8693-B26D-9A0721B2569E}"/>
                </a:ext>
              </a:extLst>
            </xdr:cNvPr>
            <xdr:cNvGraphicFramePr/>
          </xdr:nvGraphicFramePr>
          <xdr:xfrm>
            <a:off x="0" y="0"/>
            <a:ext cx="0" cy="0"/>
          </xdr:xfrm>
          <a:graphic>
            <a:graphicData uri="http://schemas.microsoft.com/office/drawing/2010/slicer">
              <sle:slicer xmlns:sle="http://schemas.microsoft.com/office/drawing/2010/slicer" name="5G Support"/>
            </a:graphicData>
          </a:graphic>
        </xdr:graphicFrame>
      </mc:Choice>
      <mc:Fallback xmlns="">
        <xdr:sp macro="" textlink="">
          <xdr:nvSpPr>
            <xdr:cNvPr id="0" name=""/>
            <xdr:cNvSpPr>
              <a:spLocks noTextEdit="1"/>
            </xdr:cNvSpPr>
          </xdr:nvSpPr>
          <xdr:spPr>
            <a:xfrm>
              <a:off x="266700" y="15087601"/>
              <a:ext cx="182880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403860</xdr:colOff>
      <xdr:row>18</xdr:row>
      <xdr:rowOff>60960</xdr:rowOff>
    </xdr:from>
    <xdr:to>
      <xdr:col>8</xdr:col>
      <xdr:colOff>449580</xdr:colOff>
      <xdr:row>32</xdr:row>
      <xdr:rowOff>80010</xdr:rowOff>
    </xdr:to>
    <xdr:graphicFrame macro="">
      <xdr:nvGraphicFramePr>
        <xdr:cNvPr id="12" name="Chart 11">
          <a:extLst>
            <a:ext uri="{FF2B5EF4-FFF2-40B4-BE49-F238E27FC236}">
              <a16:creationId xmlns:a16="http://schemas.microsoft.com/office/drawing/2014/main" id="{21839998-58E2-5DA0-2B8F-8C635B5D1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205740</xdr:colOff>
      <xdr:row>91</xdr:row>
      <xdr:rowOff>167641</xdr:rowOff>
    </xdr:from>
    <xdr:to>
      <xdr:col>9</xdr:col>
      <xdr:colOff>205740</xdr:colOff>
      <xdr:row>97</xdr:row>
      <xdr:rowOff>114301</xdr:rowOff>
    </xdr:to>
    <mc:AlternateContent xmlns:mc="http://schemas.openxmlformats.org/markup-compatibility/2006" xmlns:a14="http://schemas.microsoft.com/office/drawing/2010/main">
      <mc:Choice Requires="a14">
        <xdr:graphicFrame macro="">
          <xdr:nvGraphicFramePr>
            <xdr:cNvPr id="3" name="5G Support 1">
              <a:extLst>
                <a:ext uri="{FF2B5EF4-FFF2-40B4-BE49-F238E27FC236}">
                  <a16:creationId xmlns:a16="http://schemas.microsoft.com/office/drawing/2014/main" id="{E16A145D-2B6E-4624-EC10-942F258DF912}"/>
                </a:ext>
              </a:extLst>
            </xdr:cNvPr>
            <xdr:cNvGraphicFramePr/>
          </xdr:nvGraphicFramePr>
          <xdr:xfrm>
            <a:off x="0" y="0"/>
            <a:ext cx="0" cy="0"/>
          </xdr:xfrm>
          <a:graphic>
            <a:graphicData uri="http://schemas.microsoft.com/office/drawing/2010/slicer">
              <sle:slicer xmlns:sle="http://schemas.microsoft.com/office/drawing/2010/slicer" name="5G Support 1"/>
            </a:graphicData>
          </a:graphic>
        </xdr:graphicFrame>
      </mc:Choice>
      <mc:Fallback xmlns="">
        <xdr:sp macro="" textlink="">
          <xdr:nvSpPr>
            <xdr:cNvPr id="0" name=""/>
            <xdr:cNvSpPr>
              <a:spLocks noTextEdit="1"/>
            </xdr:cNvSpPr>
          </xdr:nvSpPr>
          <xdr:spPr>
            <a:xfrm>
              <a:off x="4602480" y="1690116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312420</xdr:colOff>
      <xdr:row>99</xdr:row>
      <xdr:rowOff>144780</xdr:rowOff>
    </xdr:from>
    <xdr:to>
      <xdr:col>9</xdr:col>
      <xdr:colOff>167640</xdr:colOff>
      <xdr:row>113</xdr:row>
      <xdr:rowOff>11430</xdr:rowOff>
    </xdr:to>
    <xdr:graphicFrame macro="">
      <xdr:nvGraphicFramePr>
        <xdr:cNvPr id="20" name="Chart 19">
          <a:extLst>
            <a:ext uri="{FF2B5EF4-FFF2-40B4-BE49-F238E27FC236}">
              <a16:creationId xmlns:a16="http://schemas.microsoft.com/office/drawing/2014/main" id="{3393D466-1644-1411-BD73-5199565B9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563880</xdr:colOff>
      <xdr:row>114</xdr:row>
      <xdr:rowOff>41910</xdr:rowOff>
    </xdr:from>
    <xdr:to>
      <xdr:col>10</xdr:col>
      <xdr:colOff>342900</xdr:colOff>
      <xdr:row>129</xdr:row>
      <xdr:rowOff>41910</xdr:rowOff>
    </xdr:to>
    <xdr:graphicFrame macro="">
      <xdr:nvGraphicFramePr>
        <xdr:cNvPr id="21" name="Chart 20">
          <a:extLst>
            <a:ext uri="{FF2B5EF4-FFF2-40B4-BE49-F238E27FC236}">
              <a16:creationId xmlns:a16="http://schemas.microsoft.com/office/drawing/2014/main" id="{AA243BC8-F621-507F-BD8D-709BB9E37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193675</xdr:colOff>
      <xdr:row>50</xdr:row>
      <xdr:rowOff>26987</xdr:rowOff>
    </xdr:from>
    <xdr:to>
      <xdr:col>16</xdr:col>
      <xdr:colOff>939800</xdr:colOff>
      <xdr:row>64</xdr:row>
      <xdr:rowOff>103187</xdr:rowOff>
    </xdr:to>
    <xdr:graphicFrame macro="">
      <xdr:nvGraphicFramePr>
        <xdr:cNvPr id="22" name="Chart 21">
          <a:extLst>
            <a:ext uri="{FF2B5EF4-FFF2-40B4-BE49-F238E27FC236}">
              <a16:creationId xmlns:a16="http://schemas.microsoft.com/office/drawing/2014/main" id="{C86AD9F5-73A5-3B62-8D59-0A73CD29F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590550</xdr:colOff>
      <xdr:row>66</xdr:row>
      <xdr:rowOff>90487</xdr:rowOff>
    </xdr:from>
    <xdr:to>
      <xdr:col>22</xdr:col>
      <xdr:colOff>285750</xdr:colOff>
      <xdr:row>80</xdr:row>
      <xdr:rowOff>157162</xdr:rowOff>
    </xdr:to>
    <xdr:graphicFrame macro="">
      <xdr:nvGraphicFramePr>
        <xdr:cNvPr id="23" name="Chart 22">
          <a:extLst>
            <a:ext uri="{FF2B5EF4-FFF2-40B4-BE49-F238E27FC236}">
              <a16:creationId xmlns:a16="http://schemas.microsoft.com/office/drawing/2014/main" id="{428745E4-6BC8-5703-CB8C-04F2AA430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365125</xdr:colOff>
      <xdr:row>31</xdr:row>
      <xdr:rowOff>65088</xdr:rowOff>
    </xdr:from>
    <xdr:to>
      <xdr:col>25</xdr:col>
      <xdr:colOff>111125</xdr:colOff>
      <xdr:row>45</xdr:row>
      <xdr:rowOff>141288</xdr:rowOff>
    </xdr:to>
    <xdr:graphicFrame macro="">
      <xdr:nvGraphicFramePr>
        <xdr:cNvPr id="14" name="Chart 13">
          <a:extLst>
            <a:ext uri="{FF2B5EF4-FFF2-40B4-BE49-F238E27FC236}">
              <a16:creationId xmlns:a16="http://schemas.microsoft.com/office/drawing/2014/main" id="{8A5AADB0-03A5-135C-1905-1B03EFEAE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rna" refreshedDate="46117.499911921295" createdVersion="8" refreshedVersion="8" minRefreshableVersion="3" recordCount="90" xr:uid="{41EDF2EB-1D15-4E00-9BC2-81C7E984456B}">
  <cacheSource type="worksheet">
    <worksheetSource ref="A1:P91" sheet="Mobile Data"/>
  </cacheSource>
  <cacheFields count="16">
    <cacheField name="Country" numFmtId="0">
      <sharedItems count="18">
        <s v="France"/>
        <s v="Mexico"/>
        <s v="UK"/>
        <s v="South Korea"/>
        <s v="India"/>
        <s v="South Africa"/>
        <s v="China"/>
        <s v="Italy"/>
        <s v="Japan"/>
        <s v="Indonesia"/>
        <s v="Brazil"/>
        <s v="Australia"/>
        <s v="Spain"/>
        <s v="Russia"/>
        <s v="Germany"/>
        <s v="Canada"/>
        <s v="UAE"/>
        <s v="USA"/>
      </sharedItems>
    </cacheField>
    <cacheField name="Brand" numFmtId="0">
      <sharedItems count="10">
        <s v="Vivo"/>
        <s v="Google"/>
        <s v="Sony"/>
        <s v="Huawei"/>
        <s v="Samsung"/>
        <s v="Motorola"/>
        <s v="Oppo"/>
        <s v="LG"/>
        <s v="Xiaomi"/>
        <s v="Apple"/>
      </sharedItems>
    </cacheField>
    <cacheField name="Model" numFmtId="0">
      <sharedItems/>
    </cacheField>
    <cacheField name="Price ($)" numFmtId="0">
      <sharedItems containsSemiMixedTypes="0" containsString="0" containsNumber="1" containsInteger="1" minValue="224" maxValue="1194"/>
    </cacheField>
    <cacheField name="Units Sold (Millions)" numFmtId="0">
      <sharedItems containsSemiMixedTypes="0" containsString="0" containsNumber="1" containsInteger="1" minValue="5" maxValue="80"/>
    </cacheField>
    <cacheField name="Market Share (%)" numFmtId="0">
      <sharedItems containsSemiMixedTypes="0" containsString="0" containsNumber="1" containsInteger="1" minValue="5" maxValue="60"/>
    </cacheField>
    <cacheField name="Category" numFmtId="0">
      <sharedItems count="3">
        <s v="Mid-range"/>
        <s v="Budget"/>
        <s v="Premium"/>
      </sharedItems>
    </cacheField>
    <cacheField name="Year" numFmtId="0">
      <sharedItems containsSemiMixedTypes="0" containsString="0" containsNumber="1" containsInteger="1" minValue="2020" maxValue="2025" count="6">
        <n v="2020"/>
        <n v="2023"/>
        <n v="2025"/>
        <n v="2021"/>
        <n v="2022"/>
        <n v="2024"/>
      </sharedItems>
    </cacheField>
    <cacheField name="Launch Month" numFmtId="0">
      <sharedItems/>
    </cacheField>
    <cacheField name="5G Support" numFmtId="0">
      <sharedItems count="2">
        <s v="No"/>
        <s v="Yes"/>
      </sharedItems>
    </cacheField>
    <cacheField name="Battery (mAh)" numFmtId="0">
      <sharedItems containsSemiMixedTypes="0" containsString="0" containsNumber="1" containsInteger="1" minValue="3056" maxValue="5978"/>
    </cacheField>
    <cacheField name="Rating" numFmtId="0">
      <sharedItems containsSemiMixedTypes="0" containsString="0" containsNumber="1" minValue="3.5" maxValue="5"/>
    </cacheField>
    <cacheField name="Discount (%)" numFmtId="0">
      <sharedItems containsSemiMixedTypes="0" containsString="0" containsNumber="1" containsInteger="1" minValue="5" maxValue="30"/>
    </cacheField>
    <cacheField name="Online Sales (%)" numFmtId="0">
      <sharedItems containsSemiMixedTypes="0" containsString="0" containsNumber="1" containsInteger="1" minValue="41" maxValue="80"/>
    </cacheField>
    <cacheField name="Offline Sales (%)" numFmtId="0">
      <sharedItems containsSemiMixedTypes="0" containsString="0" containsNumber="1" containsInteger="1" minValue="20" maxValue="59"/>
    </cacheField>
    <cacheField name="Revenue ($M)" numFmtId="0">
      <sharedItems containsSemiMixedTypes="0" containsString="0" containsNumber="1" containsInteger="1" minValue="1120" maxValue="89550"/>
    </cacheField>
  </cacheFields>
  <extLst>
    <ext xmlns:x14="http://schemas.microsoft.com/office/spreadsheetml/2009/9/main" uri="{725AE2AE-9491-48be-B2B4-4EB974FC3084}">
      <x14:pivotCacheDefinition pivotCacheId="2093737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s v="Model A"/>
    <n v="330"/>
    <n v="58"/>
    <n v="23"/>
    <x v="0"/>
    <x v="0"/>
    <s v="Feb"/>
    <x v="0"/>
    <n v="3639"/>
    <n v="3.8"/>
    <n v="15"/>
    <n v="59"/>
    <n v="55"/>
    <n v="19140"/>
  </r>
  <r>
    <x v="0"/>
    <x v="1"/>
    <s v="Model C"/>
    <n v="409"/>
    <n v="54"/>
    <n v="56"/>
    <x v="1"/>
    <x v="1"/>
    <s v="Feb"/>
    <x v="1"/>
    <n v="3913"/>
    <n v="4.5999999999999996"/>
    <n v="14"/>
    <n v="44"/>
    <n v="25"/>
    <n v="22086"/>
  </r>
  <r>
    <x v="1"/>
    <x v="2"/>
    <s v="Model B"/>
    <n v="395"/>
    <n v="22"/>
    <n v="28"/>
    <x v="0"/>
    <x v="0"/>
    <s v="Apr"/>
    <x v="0"/>
    <n v="4482"/>
    <n v="4.5"/>
    <n v="12"/>
    <n v="72"/>
    <n v="53"/>
    <n v="8690"/>
  </r>
  <r>
    <x v="2"/>
    <x v="1"/>
    <s v="Model B"/>
    <n v="887"/>
    <n v="45"/>
    <n v="59"/>
    <x v="1"/>
    <x v="2"/>
    <s v="Apr"/>
    <x v="0"/>
    <n v="3808"/>
    <n v="4.9000000000000004"/>
    <n v="12"/>
    <n v="71"/>
    <n v="49"/>
    <n v="39915"/>
  </r>
  <r>
    <x v="3"/>
    <x v="3"/>
    <s v="Model B"/>
    <n v="827"/>
    <n v="37"/>
    <n v="21"/>
    <x v="2"/>
    <x v="3"/>
    <s v="Mar"/>
    <x v="0"/>
    <n v="5822"/>
    <n v="4.4000000000000004"/>
    <n v="18"/>
    <n v="65"/>
    <n v="34"/>
    <n v="30599"/>
  </r>
  <r>
    <x v="4"/>
    <x v="4"/>
    <s v="Model A"/>
    <n v="978"/>
    <n v="66"/>
    <n v="28"/>
    <x v="2"/>
    <x v="4"/>
    <s v="May"/>
    <x v="1"/>
    <n v="5958"/>
    <n v="3.9"/>
    <n v="24"/>
    <n v="75"/>
    <n v="35"/>
    <n v="64548"/>
  </r>
  <r>
    <x v="5"/>
    <x v="5"/>
    <s v="Model E"/>
    <n v="335"/>
    <n v="63"/>
    <n v="60"/>
    <x v="1"/>
    <x v="5"/>
    <s v="Jan"/>
    <x v="1"/>
    <n v="4017"/>
    <n v="4"/>
    <n v="8"/>
    <n v="52"/>
    <n v="47"/>
    <n v="21105"/>
  </r>
  <r>
    <x v="6"/>
    <x v="3"/>
    <s v="Model D"/>
    <n v="781"/>
    <n v="46"/>
    <n v="24"/>
    <x v="0"/>
    <x v="5"/>
    <s v="Jan"/>
    <x v="0"/>
    <n v="5094"/>
    <n v="4"/>
    <n v="15"/>
    <n v="62"/>
    <n v="56"/>
    <n v="35926"/>
  </r>
  <r>
    <x v="5"/>
    <x v="0"/>
    <s v="Model D"/>
    <n v="306"/>
    <n v="36"/>
    <n v="39"/>
    <x v="0"/>
    <x v="2"/>
    <s v="Mar"/>
    <x v="0"/>
    <n v="5917"/>
    <n v="3.8"/>
    <n v="21"/>
    <n v="78"/>
    <n v="38"/>
    <n v="11016"/>
  </r>
  <r>
    <x v="7"/>
    <x v="5"/>
    <s v="Model C"/>
    <n v="461"/>
    <n v="36"/>
    <n v="21"/>
    <x v="1"/>
    <x v="3"/>
    <s v="Jan"/>
    <x v="0"/>
    <n v="3269"/>
    <n v="4.5"/>
    <n v="19"/>
    <n v="51"/>
    <n v="21"/>
    <n v="16596"/>
  </r>
  <r>
    <x v="8"/>
    <x v="4"/>
    <s v="Model E"/>
    <n v="423"/>
    <n v="40"/>
    <n v="44"/>
    <x v="1"/>
    <x v="3"/>
    <s v="Feb"/>
    <x v="1"/>
    <n v="5947"/>
    <n v="3.8"/>
    <n v="20"/>
    <n v="57"/>
    <n v="42"/>
    <n v="16920"/>
  </r>
  <r>
    <x v="9"/>
    <x v="1"/>
    <s v="Model B"/>
    <n v="943"/>
    <n v="63"/>
    <n v="23"/>
    <x v="1"/>
    <x v="5"/>
    <s v="Jan"/>
    <x v="1"/>
    <n v="5948"/>
    <n v="4.2"/>
    <n v="22"/>
    <n v="60"/>
    <n v="24"/>
    <n v="59409"/>
  </r>
  <r>
    <x v="5"/>
    <x v="1"/>
    <s v="Model B"/>
    <n v="575"/>
    <n v="19"/>
    <n v="56"/>
    <x v="1"/>
    <x v="5"/>
    <s v="Apr"/>
    <x v="0"/>
    <n v="5575"/>
    <n v="4.2"/>
    <n v="13"/>
    <n v="74"/>
    <n v="41"/>
    <n v="10925"/>
  </r>
  <r>
    <x v="5"/>
    <x v="6"/>
    <s v="Model D"/>
    <n v="625"/>
    <n v="21"/>
    <n v="31"/>
    <x v="0"/>
    <x v="4"/>
    <s v="May"/>
    <x v="1"/>
    <n v="3208"/>
    <n v="4.4000000000000004"/>
    <n v="20"/>
    <n v="75"/>
    <n v="25"/>
    <n v="13125"/>
  </r>
  <r>
    <x v="10"/>
    <x v="6"/>
    <s v="Model E"/>
    <n v="341"/>
    <n v="60"/>
    <n v="15"/>
    <x v="0"/>
    <x v="1"/>
    <s v="Mar"/>
    <x v="1"/>
    <n v="4229"/>
    <n v="4.7"/>
    <n v="30"/>
    <n v="52"/>
    <n v="33"/>
    <n v="20460"/>
  </r>
  <r>
    <x v="2"/>
    <x v="4"/>
    <s v="Model A"/>
    <n v="1107"/>
    <n v="79"/>
    <n v="58"/>
    <x v="0"/>
    <x v="4"/>
    <s v="Jan"/>
    <x v="0"/>
    <n v="5553"/>
    <n v="4.8"/>
    <n v="25"/>
    <n v="75"/>
    <n v="57"/>
    <n v="87453"/>
  </r>
  <r>
    <x v="11"/>
    <x v="7"/>
    <s v="Model A"/>
    <n v="345"/>
    <n v="18"/>
    <n v="51"/>
    <x v="2"/>
    <x v="0"/>
    <s v="Jan"/>
    <x v="0"/>
    <n v="4865"/>
    <n v="3.6"/>
    <n v="18"/>
    <n v="61"/>
    <n v="45"/>
    <n v="6210"/>
  </r>
  <r>
    <x v="12"/>
    <x v="0"/>
    <s v="Model C"/>
    <n v="888"/>
    <n v="57"/>
    <n v="41"/>
    <x v="1"/>
    <x v="2"/>
    <s v="Jun"/>
    <x v="0"/>
    <n v="3234"/>
    <n v="4.8"/>
    <n v="27"/>
    <n v="56"/>
    <n v="37"/>
    <n v="50616"/>
  </r>
  <r>
    <x v="0"/>
    <x v="5"/>
    <s v="Model A"/>
    <n v="476"/>
    <n v="26"/>
    <n v="47"/>
    <x v="1"/>
    <x v="0"/>
    <s v="Feb"/>
    <x v="0"/>
    <n v="5517"/>
    <n v="4.5999999999999996"/>
    <n v="7"/>
    <n v="58"/>
    <n v="36"/>
    <n v="12376"/>
  </r>
  <r>
    <x v="7"/>
    <x v="6"/>
    <s v="Model D"/>
    <n v="229"/>
    <n v="70"/>
    <n v="25"/>
    <x v="0"/>
    <x v="2"/>
    <s v="Jan"/>
    <x v="1"/>
    <n v="5020"/>
    <n v="3.7"/>
    <n v="5"/>
    <n v="46"/>
    <n v="47"/>
    <n v="16030"/>
  </r>
  <r>
    <x v="5"/>
    <x v="3"/>
    <s v="Model D"/>
    <n v="486"/>
    <n v="62"/>
    <n v="50"/>
    <x v="0"/>
    <x v="5"/>
    <s v="May"/>
    <x v="0"/>
    <n v="5284"/>
    <n v="5"/>
    <n v="13"/>
    <n v="55"/>
    <n v="58"/>
    <n v="30132"/>
  </r>
  <r>
    <x v="13"/>
    <x v="2"/>
    <s v="Model C"/>
    <n v="600"/>
    <n v="78"/>
    <n v="7"/>
    <x v="2"/>
    <x v="3"/>
    <s v="Jan"/>
    <x v="1"/>
    <n v="3114"/>
    <n v="3.6"/>
    <n v="28"/>
    <n v="54"/>
    <n v="55"/>
    <n v="46800"/>
  </r>
  <r>
    <x v="12"/>
    <x v="4"/>
    <s v="Model B"/>
    <n v="235"/>
    <n v="25"/>
    <n v="8"/>
    <x v="2"/>
    <x v="0"/>
    <s v="Jun"/>
    <x v="1"/>
    <n v="3056"/>
    <n v="4"/>
    <n v="24"/>
    <n v="63"/>
    <n v="55"/>
    <n v="5875"/>
  </r>
  <r>
    <x v="12"/>
    <x v="5"/>
    <s v="Model E"/>
    <n v="946"/>
    <n v="61"/>
    <n v="57"/>
    <x v="1"/>
    <x v="1"/>
    <s v="Jan"/>
    <x v="1"/>
    <n v="4001"/>
    <n v="5"/>
    <n v="13"/>
    <n v="76"/>
    <n v="51"/>
    <n v="57706"/>
  </r>
  <r>
    <x v="2"/>
    <x v="1"/>
    <s v="Model E"/>
    <n v="517"/>
    <n v="46"/>
    <n v="40"/>
    <x v="0"/>
    <x v="2"/>
    <s v="Jun"/>
    <x v="0"/>
    <n v="3745"/>
    <n v="3.5"/>
    <n v="12"/>
    <n v="46"/>
    <n v="28"/>
    <n v="23782"/>
  </r>
  <r>
    <x v="7"/>
    <x v="7"/>
    <s v="Model A"/>
    <n v="593"/>
    <n v="20"/>
    <n v="17"/>
    <x v="2"/>
    <x v="2"/>
    <s v="Mar"/>
    <x v="1"/>
    <n v="4958"/>
    <n v="3.5"/>
    <n v="5"/>
    <n v="51"/>
    <n v="46"/>
    <n v="11860"/>
  </r>
  <r>
    <x v="8"/>
    <x v="6"/>
    <s v="Model A"/>
    <n v="1124"/>
    <n v="73"/>
    <n v="20"/>
    <x v="1"/>
    <x v="1"/>
    <s v="Mar"/>
    <x v="1"/>
    <n v="4588"/>
    <n v="3.9"/>
    <n v="12"/>
    <n v="66"/>
    <n v="59"/>
    <n v="82052"/>
  </r>
  <r>
    <x v="14"/>
    <x v="4"/>
    <s v="Model E"/>
    <n v="1166"/>
    <n v="46"/>
    <n v="39"/>
    <x v="2"/>
    <x v="4"/>
    <s v="May"/>
    <x v="1"/>
    <n v="4763"/>
    <n v="3.8"/>
    <n v="8"/>
    <n v="44"/>
    <n v="24"/>
    <n v="53636"/>
  </r>
  <r>
    <x v="13"/>
    <x v="0"/>
    <s v="Model C"/>
    <n v="639"/>
    <n v="23"/>
    <n v="35"/>
    <x v="1"/>
    <x v="3"/>
    <s v="Feb"/>
    <x v="1"/>
    <n v="4965"/>
    <n v="3.7"/>
    <n v="13"/>
    <n v="51"/>
    <n v="38"/>
    <n v="14697"/>
  </r>
  <r>
    <x v="10"/>
    <x v="0"/>
    <s v="Model A"/>
    <n v="920"/>
    <n v="69"/>
    <n v="35"/>
    <x v="0"/>
    <x v="2"/>
    <s v="Feb"/>
    <x v="1"/>
    <n v="4919"/>
    <n v="3.6"/>
    <n v="7"/>
    <n v="47"/>
    <n v="41"/>
    <n v="63480"/>
  </r>
  <r>
    <x v="15"/>
    <x v="2"/>
    <s v="Model A"/>
    <n v="647"/>
    <n v="33"/>
    <n v="44"/>
    <x v="0"/>
    <x v="5"/>
    <s v="Mar"/>
    <x v="1"/>
    <n v="3086"/>
    <n v="4.3"/>
    <n v="15"/>
    <n v="66"/>
    <n v="54"/>
    <n v="21351"/>
  </r>
  <r>
    <x v="11"/>
    <x v="8"/>
    <s v="Model D"/>
    <n v="382"/>
    <n v="74"/>
    <n v="28"/>
    <x v="1"/>
    <x v="3"/>
    <s v="Jan"/>
    <x v="0"/>
    <n v="3733"/>
    <n v="3.6"/>
    <n v="21"/>
    <n v="74"/>
    <n v="47"/>
    <n v="28268"/>
  </r>
  <r>
    <x v="16"/>
    <x v="1"/>
    <s v="Model B"/>
    <n v="430"/>
    <n v="8"/>
    <n v="43"/>
    <x v="0"/>
    <x v="5"/>
    <s v="May"/>
    <x v="1"/>
    <n v="5363"/>
    <n v="4.5999999999999996"/>
    <n v="12"/>
    <n v="66"/>
    <n v="43"/>
    <n v="3440"/>
  </r>
  <r>
    <x v="1"/>
    <x v="8"/>
    <s v="Model C"/>
    <n v="781"/>
    <n v="79"/>
    <n v="30"/>
    <x v="1"/>
    <x v="4"/>
    <s v="Jan"/>
    <x v="1"/>
    <n v="4332"/>
    <n v="3.8"/>
    <n v="10"/>
    <n v="57"/>
    <n v="59"/>
    <n v="61699"/>
  </r>
  <r>
    <x v="16"/>
    <x v="9"/>
    <s v="Model D"/>
    <n v="897"/>
    <n v="21"/>
    <n v="18"/>
    <x v="1"/>
    <x v="0"/>
    <s v="Jan"/>
    <x v="1"/>
    <n v="4808"/>
    <n v="4.3"/>
    <n v="14"/>
    <n v="43"/>
    <n v="44"/>
    <n v="18837"/>
  </r>
  <r>
    <x v="14"/>
    <x v="4"/>
    <s v="Model A"/>
    <n v="281"/>
    <n v="21"/>
    <n v="14"/>
    <x v="0"/>
    <x v="2"/>
    <s v="Feb"/>
    <x v="0"/>
    <n v="3380"/>
    <n v="4.9000000000000004"/>
    <n v="27"/>
    <n v="57"/>
    <n v="54"/>
    <n v="5901"/>
  </r>
  <r>
    <x v="0"/>
    <x v="0"/>
    <s v="Model A"/>
    <n v="1099"/>
    <n v="62"/>
    <n v="9"/>
    <x v="2"/>
    <x v="0"/>
    <s v="Jun"/>
    <x v="0"/>
    <n v="4707"/>
    <n v="3.8"/>
    <n v="9"/>
    <n v="52"/>
    <n v="39"/>
    <n v="68138"/>
  </r>
  <r>
    <x v="7"/>
    <x v="8"/>
    <s v="Model B"/>
    <n v="1094"/>
    <n v="23"/>
    <n v="6"/>
    <x v="0"/>
    <x v="1"/>
    <s v="Mar"/>
    <x v="1"/>
    <n v="3200"/>
    <n v="4.0999999999999996"/>
    <n v="25"/>
    <n v="56"/>
    <n v="36"/>
    <n v="25162"/>
  </r>
  <r>
    <x v="2"/>
    <x v="9"/>
    <s v="Model D"/>
    <n v="608"/>
    <n v="31"/>
    <n v="21"/>
    <x v="0"/>
    <x v="1"/>
    <s v="Apr"/>
    <x v="1"/>
    <n v="3083"/>
    <n v="4.9000000000000004"/>
    <n v="24"/>
    <n v="55"/>
    <n v="37"/>
    <n v="18848"/>
  </r>
  <r>
    <x v="5"/>
    <x v="9"/>
    <s v="Model B"/>
    <n v="1018"/>
    <n v="43"/>
    <n v="14"/>
    <x v="1"/>
    <x v="3"/>
    <s v="May"/>
    <x v="1"/>
    <n v="4736"/>
    <n v="4.0999999999999996"/>
    <n v="15"/>
    <n v="72"/>
    <n v="49"/>
    <n v="43774"/>
  </r>
  <r>
    <x v="10"/>
    <x v="2"/>
    <s v="Model C"/>
    <n v="924"/>
    <n v="64"/>
    <n v="37"/>
    <x v="2"/>
    <x v="2"/>
    <s v="May"/>
    <x v="0"/>
    <n v="4559"/>
    <n v="4"/>
    <n v="17"/>
    <n v="72"/>
    <n v="44"/>
    <n v="59136"/>
  </r>
  <r>
    <x v="7"/>
    <x v="3"/>
    <s v="Model E"/>
    <n v="355"/>
    <n v="29"/>
    <n v="49"/>
    <x v="0"/>
    <x v="5"/>
    <s v="Jan"/>
    <x v="1"/>
    <n v="3192"/>
    <n v="3.8"/>
    <n v="15"/>
    <n v="78"/>
    <n v="20"/>
    <n v="10295"/>
  </r>
  <r>
    <x v="7"/>
    <x v="4"/>
    <s v="Model A"/>
    <n v="436"/>
    <n v="41"/>
    <n v="34"/>
    <x v="1"/>
    <x v="0"/>
    <s v="Mar"/>
    <x v="0"/>
    <n v="5787"/>
    <n v="3.7"/>
    <n v="10"/>
    <n v="60"/>
    <n v="21"/>
    <n v="17876"/>
  </r>
  <r>
    <x v="0"/>
    <x v="1"/>
    <s v="Model E"/>
    <n v="640"/>
    <n v="21"/>
    <n v="16"/>
    <x v="2"/>
    <x v="1"/>
    <s v="Jan"/>
    <x v="1"/>
    <n v="5370"/>
    <n v="4.2"/>
    <n v="6"/>
    <n v="41"/>
    <n v="51"/>
    <n v="13440"/>
  </r>
  <r>
    <x v="17"/>
    <x v="2"/>
    <s v="Model C"/>
    <n v="1057"/>
    <n v="33"/>
    <n v="25"/>
    <x v="2"/>
    <x v="4"/>
    <s v="Apr"/>
    <x v="0"/>
    <n v="5151"/>
    <n v="4.2"/>
    <n v="17"/>
    <n v="75"/>
    <n v="58"/>
    <n v="34881"/>
  </r>
  <r>
    <x v="13"/>
    <x v="9"/>
    <s v="Model A"/>
    <n v="1183"/>
    <n v="53"/>
    <n v="23"/>
    <x v="2"/>
    <x v="2"/>
    <s v="Feb"/>
    <x v="1"/>
    <n v="4252"/>
    <n v="5"/>
    <n v="18"/>
    <n v="51"/>
    <n v="50"/>
    <n v="62699"/>
  </r>
  <r>
    <x v="14"/>
    <x v="0"/>
    <s v="Model C"/>
    <n v="324"/>
    <n v="7"/>
    <n v="31"/>
    <x v="0"/>
    <x v="1"/>
    <s v="Jan"/>
    <x v="1"/>
    <n v="5186"/>
    <n v="5"/>
    <n v="7"/>
    <n v="62"/>
    <n v="25"/>
    <n v="2268"/>
  </r>
  <r>
    <x v="13"/>
    <x v="3"/>
    <s v="Model A"/>
    <n v="471"/>
    <n v="57"/>
    <n v="9"/>
    <x v="0"/>
    <x v="2"/>
    <s v="Mar"/>
    <x v="0"/>
    <n v="5246"/>
    <n v="4.9000000000000004"/>
    <n v="15"/>
    <n v="44"/>
    <n v="56"/>
    <n v="26847"/>
  </r>
  <r>
    <x v="10"/>
    <x v="2"/>
    <s v="Model E"/>
    <n v="836"/>
    <n v="8"/>
    <n v="17"/>
    <x v="1"/>
    <x v="3"/>
    <s v="Apr"/>
    <x v="0"/>
    <n v="3676"/>
    <n v="4.9000000000000004"/>
    <n v="22"/>
    <n v="49"/>
    <n v="33"/>
    <n v="6688"/>
  </r>
  <r>
    <x v="6"/>
    <x v="1"/>
    <s v="Model D"/>
    <n v="444"/>
    <n v="66"/>
    <n v="35"/>
    <x v="1"/>
    <x v="2"/>
    <s v="Apr"/>
    <x v="0"/>
    <n v="5698"/>
    <n v="4.0999999999999996"/>
    <n v="13"/>
    <n v="77"/>
    <n v="56"/>
    <n v="29304"/>
  </r>
  <r>
    <x v="9"/>
    <x v="4"/>
    <s v="Model E"/>
    <n v="897"/>
    <n v="56"/>
    <n v="37"/>
    <x v="0"/>
    <x v="5"/>
    <s v="May"/>
    <x v="1"/>
    <n v="4750"/>
    <n v="4.4000000000000004"/>
    <n v="7"/>
    <n v="72"/>
    <n v="40"/>
    <n v="50232"/>
  </r>
  <r>
    <x v="15"/>
    <x v="3"/>
    <s v="Model B"/>
    <n v="497"/>
    <n v="63"/>
    <n v="30"/>
    <x v="1"/>
    <x v="4"/>
    <s v="Feb"/>
    <x v="1"/>
    <n v="4947"/>
    <n v="3.8"/>
    <n v="10"/>
    <n v="41"/>
    <n v="59"/>
    <n v="31311"/>
  </r>
  <r>
    <x v="15"/>
    <x v="8"/>
    <s v="Model D"/>
    <n v="1059"/>
    <n v="63"/>
    <n v="8"/>
    <x v="0"/>
    <x v="1"/>
    <s v="May"/>
    <x v="1"/>
    <n v="3465"/>
    <n v="4.5"/>
    <n v="19"/>
    <n v="64"/>
    <n v="37"/>
    <n v="66717"/>
  </r>
  <r>
    <x v="5"/>
    <x v="3"/>
    <s v="Model D"/>
    <n v="282"/>
    <n v="50"/>
    <n v="20"/>
    <x v="2"/>
    <x v="5"/>
    <s v="Jan"/>
    <x v="0"/>
    <n v="4748"/>
    <n v="5"/>
    <n v="27"/>
    <n v="76"/>
    <n v="20"/>
    <n v="14100"/>
  </r>
  <r>
    <x v="12"/>
    <x v="1"/>
    <s v="Model D"/>
    <n v="543"/>
    <n v="47"/>
    <n v="5"/>
    <x v="2"/>
    <x v="3"/>
    <s v="Jun"/>
    <x v="1"/>
    <n v="3115"/>
    <n v="3.9"/>
    <n v="21"/>
    <n v="56"/>
    <n v="26"/>
    <n v="25521"/>
  </r>
  <r>
    <x v="1"/>
    <x v="1"/>
    <s v="Model A"/>
    <n v="237"/>
    <n v="72"/>
    <n v="48"/>
    <x v="0"/>
    <x v="1"/>
    <s v="Mar"/>
    <x v="0"/>
    <n v="3572"/>
    <n v="4.2"/>
    <n v="20"/>
    <n v="62"/>
    <n v="45"/>
    <n v="17064"/>
  </r>
  <r>
    <x v="1"/>
    <x v="6"/>
    <s v="Model E"/>
    <n v="916"/>
    <n v="26"/>
    <n v="56"/>
    <x v="0"/>
    <x v="3"/>
    <s v="Mar"/>
    <x v="0"/>
    <n v="4397"/>
    <n v="4.0999999999999996"/>
    <n v="13"/>
    <n v="54"/>
    <n v="26"/>
    <n v="23816"/>
  </r>
  <r>
    <x v="12"/>
    <x v="7"/>
    <s v="Model C"/>
    <n v="283"/>
    <n v="76"/>
    <n v="24"/>
    <x v="0"/>
    <x v="4"/>
    <s v="Jun"/>
    <x v="1"/>
    <n v="5888"/>
    <n v="3.8"/>
    <n v="21"/>
    <n v="48"/>
    <n v="27"/>
    <n v="21508"/>
  </r>
  <r>
    <x v="12"/>
    <x v="7"/>
    <s v="Model E"/>
    <n v="1102"/>
    <n v="69"/>
    <n v="60"/>
    <x v="1"/>
    <x v="4"/>
    <s v="Jun"/>
    <x v="0"/>
    <n v="3519"/>
    <n v="4.7"/>
    <n v="20"/>
    <n v="58"/>
    <n v="20"/>
    <n v="76038"/>
  </r>
  <r>
    <x v="9"/>
    <x v="7"/>
    <s v="Model D"/>
    <n v="322"/>
    <n v="38"/>
    <n v="60"/>
    <x v="1"/>
    <x v="3"/>
    <s v="Jan"/>
    <x v="1"/>
    <n v="3300"/>
    <n v="3.8"/>
    <n v="12"/>
    <n v="50"/>
    <n v="57"/>
    <n v="12236"/>
  </r>
  <r>
    <x v="1"/>
    <x v="1"/>
    <s v="Model C"/>
    <n v="474"/>
    <n v="38"/>
    <n v="34"/>
    <x v="1"/>
    <x v="0"/>
    <s v="Apr"/>
    <x v="0"/>
    <n v="5953"/>
    <n v="4.2"/>
    <n v="26"/>
    <n v="53"/>
    <n v="39"/>
    <n v="18012"/>
  </r>
  <r>
    <x v="1"/>
    <x v="0"/>
    <s v="Model E"/>
    <n v="798"/>
    <n v="68"/>
    <n v="41"/>
    <x v="1"/>
    <x v="5"/>
    <s v="Feb"/>
    <x v="1"/>
    <n v="4340"/>
    <n v="4.2"/>
    <n v="5"/>
    <n v="46"/>
    <n v="57"/>
    <n v="54264"/>
  </r>
  <r>
    <x v="5"/>
    <x v="6"/>
    <s v="Model B"/>
    <n v="822"/>
    <n v="25"/>
    <n v="17"/>
    <x v="2"/>
    <x v="4"/>
    <s v="Jan"/>
    <x v="1"/>
    <n v="5978"/>
    <n v="4.3"/>
    <n v="8"/>
    <n v="44"/>
    <n v="58"/>
    <n v="20550"/>
  </r>
  <r>
    <x v="1"/>
    <x v="7"/>
    <s v="Model D"/>
    <n v="311"/>
    <n v="27"/>
    <n v="37"/>
    <x v="1"/>
    <x v="5"/>
    <s v="Apr"/>
    <x v="1"/>
    <n v="3347"/>
    <n v="3.8"/>
    <n v="28"/>
    <n v="58"/>
    <n v="34"/>
    <n v="8397"/>
  </r>
  <r>
    <x v="8"/>
    <x v="0"/>
    <s v="Model C"/>
    <n v="913"/>
    <n v="69"/>
    <n v="27"/>
    <x v="1"/>
    <x v="5"/>
    <s v="Jun"/>
    <x v="1"/>
    <n v="5690"/>
    <n v="4.9000000000000004"/>
    <n v="15"/>
    <n v="52"/>
    <n v="49"/>
    <n v="62997"/>
  </r>
  <r>
    <x v="5"/>
    <x v="7"/>
    <s v="Model B"/>
    <n v="385"/>
    <n v="60"/>
    <n v="25"/>
    <x v="0"/>
    <x v="4"/>
    <s v="Mar"/>
    <x v="1"/>
    <n v="3280"/>
    <n v="4.3"/>
    <n v="12"/>
    <n v="80"/>
    <n v="59"/>
    <n v="23100"/>
  </r>
  <r>
    <x v="2"/>
    <x v="4"/>
    <s v="Model A"/>
    <n v="1124"/>
    <n v="22"/>
    <n v="30"/>
    <x v="2"/>
    <x v="1"/>
    <s v="May"/>
    <x v="0"/>
    <n v="5716"/>
    <n v="4.8"/>
    <n v="13"/>
    <n v="43"/>
    <n v="54"/>
    <n v="24728"/>
  </r>
  <r>
    <x v="17"/>
    <x v="0"/>
    <s v="Model B"/>
    <n v="862"/>
    <n v="16"/>
    <n v="45"/>
    <x v="2"/>
    <x v="0"/>
    <s v="Apr"/>
    <x v="1"/>
    <n v="3972"/>
    <n v="4.4000000000000004"/>
    <n v="28"/>
    <n v="67"/>
    <n v="29"/>
    <n v="13792"/>
  </r>
  <r>
    <x v="1"/>
    <x v="6"/>
    <s v="Model E"/>
    <n v="1016"/>
    <n v="42"/>
    <n v="13"/>
    <x v="1"/>
    <x v="2"/>
    <s v="Jan"/>
    <x v="0"/>
    <n v="4423"/>
    <n v="3.6"/>
    <n v="20"/>
    <n v="58"/>
    <n v="41"/>
    <n v="42672"/>
  </r>
  <r>
    <x v="13"/>
    <x v="5"/>
    <s v="Model B"/>
    <n v="692"/>
    <n v="8"/>
    <n v="59"/>
    <x v="0"/>
    <x v="0"/>
    <s v="Jun"/>
    <x v="1"/>
    <n v="3094"/>
    <n v="4.4000000000000004"/>
    <n v="20"/>
    <n v="79"/>
    <n v="45"/>
    <n v="5536"/>
  </r>
  <r>
    <x v="13"/>
    <x v="1"/>
    <s v="Model E"/>
    <n v="1090"/>
    <n v="69"/>
    <n v="22"/>
    <x v="0"/>
    <x v="2"/>
    <s v="Jun"/>
    <x v="1"/>
    <n v="5929"/>
    <n v="3.5"/>
    <n v="14"/>
    <n v="52"/>
    <n v="56"/>
    <n v="75210"/>
  </r>
  <r>
    <x v="10"/>
    <x v="4"/>
    <s v="Model E"/>
    <n v="322"/>
    <n v="41"/>
    <n v="14"/>
    <x v="2"/>
    <x v="4"/>
    <s v="Feb"/>
    <x v="0"/>
    <n v="3244"/>
    <n v="3.6"/>
    <n v="12"/>
    <n v="65"/>
    <n v="56"/>
    <n v="13202"/>
  </r>
  <r>
    <x v="5"/>
    <x v="5"/>
    <s v="Model D"/>
    <n v="918"/>
    <n v="62"/>
    <n v="28"/>
    <x v="1"/>
    <x v="2"/>
    <s v="Jun"/>
    <x v="0"/>
    <n v="4838"/>
    <n v="5"/>
    <n v="24"/>
    <n v="52"/>
    <n v="36"/>
    <n v="56916"/>
  </r>
  <r>
    <x v="6"/>
    <x v="9"/>
    <s v="Model E"/>
    <n v="1052"/>
    <n v="30"/>
    <n v="41"/>
    <x v="0"/>
    <x v="0"/>
    <s v="Jun"/>
    <x v="0"/>
    <n v="5457"/>
    <n v="4.8"/>
    <n v="18"/>
    <n v="60"/>
    <n v="44"/>
    <n v="31560"/>
  </r>
  <r>
    <x v="7"/>
    <x v="8"/>
    <s v="Model D"/>
    <n v="1194"/>
    <n v="75"/>
    <n v="46"/>
    <x v="0"/>
    <x v="3"/>
    <s v="Feb"/>
    <x v="0"/>
    <n v="4639"/>
    <n v="3.9"/>
    <n v="11"/>
    <n v="55"/>
    <n v="38"/>
    <n v="89550"/>
  </r>
  <r>
    <x v="5"/>
    <x v="6"/>
    <s v="Model B"/>
    <n v="782"/>
    <n v="9"/>
    <n v="16"/>
    <x v="2"/>
    <x v="2"/>
    <s v="Feb"/>
    <x v="1"/>
    <n v="5015"/>
    <n v="4.2"/>
    <n v="23"/>
    <n v="67"/>
    <n v="44"/>
    <n v="7038"/>
  </r>
  <r>
    <x v="11"/>
    <x v="8"/>
    <s v="Model B"/>
    <n v="986"/>
    <n v="80"/>
    <n v="16"/>
    <x v="0"/>
    <x v="5"/>
    <s v="Mar"/>
    <x v="1"/>
    <n v="4770"/>
    <n v="3.5"/>
    <n v="15"/>
    <n v="70"/>
    <n v="50"/>
    <n v="78880"/>
  </r>
  <r>
    <x v="17"/>
    <x v="4"/>
    <s v="Model C"/>
    <n v="742"/>
    <n v="62"/>
    <n v="51"/>
    <x v="0"/>
    <x v="1"/>
    <s v="Apr"/>
    <x v="0"/>
    <n v="4684"/>
    <n v="3.7"/>
    <n v="12"/>
    <n v="72"/>
    <n v="45"/>
    <n v="46004"/>
  </r>
  <r>
    <x v="15"/>
    <x v="7"/>
    <s v="Model A"/>
    <n v="449"/>
    <n v="55"/>
    <n v="56"/>
    <x v="0"/>
    <x v="3"/>
    <s v="May"/>
    <x v="1"/>
    <n v="5579"/>
    <n v="4.8"/>
    <n v="14"/>
    <n v="73"/>
    <n v="55"/>
    <n v="24695"/>
  </r>
  <r>
    <x v="8"/>
    <x v="5"/>
    <s v="Model A"/>
    <n v="885"/>
    <n v="34"/>
    <n v="20"/>
    <x v="0"/>
    <x v="0"/>
    <s v="Apr"/>
    <x v="0"/>
    <n v="4647"/>
    <n v="4.3"/>
    <n v="26"/>
    <n v="41"/>
    <n v="22"/>
    <n v="30090"/>
  </r>
  <r>
    <x v="6"/>
    <x v="8"/>
    <s v="Model A"/>
    <n v="830"/>
    <n v="34"/>
    <n v="20"/>
    <x v="1"/>
    <x v="0"/>
    <s v="Jun"/>
    <x v="0"/>
    <n v="4702"/>
    <n v="3.8"/>
    <n v="9"/>
    <n v="67"/>
    <n v="54"/>
    <n v="28220"/>
  </r>
  <r>
    <x v="12"/>
    <x v="9"/>
    <s v="Model A"/>
    <n v="468"/>
    <n v="35"/>
    <n v="60"/>
    <x v="2"/>
    <x v="3"/>
    <s v="Apr"/>
    <x v="0"/>
    <n v="5057"/>
    <n v="4"/>
    <n v="7"/>
    <n v="67"/>
    <n v="42"/>
    <n v="16380"/>
  </r>
  <r>
    <x v="15"/>
    <x v="7"/>
    <s v="Model A"/>
    <n v="1190"/>
    <n v="33"/>
    <n v="56"/>
    <x v="1"/>
    <x v="5"/>
    <s v="Mar"/>
    <x v="1"/>
    <n v="3446"/>
    <n v="5"/>
    <n v="7"/>
    <n v="75"/>
    <n v="45"/>
    <n v="39270"/>
  </r>
  <r>
    <x v="7"/>
    <x v="2"/>
    <s v="Model D"/>
    <n v="705"/>
    <n v="45"/>
    <n v="10"/>
    <x v="0"/>
    <x v="3"/>
    <s v="Apr"/>
    <x v="0"/>
    <n v="4200"/>
    <n v="4.3"/>
    <n v="18"/>
    <n v="63"/>
    <n v="34"/>
    <n v="31725"/>
  </r>
  <r>
    <x v="14"/>
    <x v="8"/>
    <s v="Model B"/>
    <n v="224"/>
    <n v="5"/>
    <n v="59"/>
    <x v="2"/>
    <x v="3"/>
    <s v="Apr"/>
    <x v="1"/>
    <n v="3724"/>
    <n v="3.8"/>
    <n v="7"/>
    <n v="67"/>
    <n v="58"/>
    <n v="1120"/>
  </r>
  <r>
    <x v="6"/>
    <x v="8"/>
    <s v="Model D"/>
    <n v="968"/>
    <n v="24"/>
    <n v="48"/>
    <x v="0"/>
    <x v="4"/>
    <s v="May"/>
    <x v="1"/>
    <n v="3245"/>
    <n v="3.8"/>
    <n v="28"/>
    <n v="53"/>
    <n v="44"/>
    <n v="23232"/>
  </r>
  <r>
    <x v="8"/>
    <x v="7"/>
    <s v="Model C"/>
    <n v="278"/>
    <n v="35"/>
    <n v="49"/>
    <x v="2"/>
    <x v="4"/>
    <s v="May"/>
    <x v="0"/>
    <n v="3419"/>
    <n v="4.2"/>
    <n v="17"/>
    <n v="79"/>
    <n v="22"/>
    <n v="9730"/>
  </r>
  <r>
    <x v="0"/>
    <x v="2"/>
    <s v="Model B"/>
    <n v="1139"/>
    <n v="13"/>
    <n v="43"/>
    <x v="1"/>
    <x v="0"/>
    <s v="Jan"/>
    <x v="1"/>
    <n v="5312"/>
    <n v="4.5"/>
    <n v="6"/>
    <n v="52"/>
    <n v="30"/>
    <n v="14807"/>
  </r>
  <r>
    <x v="15"/>
    <x v="1"/>
    <s v="Model A"/>
    <n v="611"/>
    <n v="64"/>
    <n v="28"/>
    <x v="1"/>
    <x v="5"/>
    <s v="Apr"/>
    <x v="0"/>
    <n v="5415"/>
    <n v="3.6"/>
    <n v="5"/>
    <n v="45"/>
    <n v="56"/>
    <n v="39104"/>
  </r>
  <r>
    <x v="0"/>
    <x v="8"/>
    <s v="Model E"/>
    <n v="618"/>
    <n v="62"/>
    <n v="47"/>
    <x v="2"/>
    <x v="0"/>
    <s v="May"/>
    <x v="0"/>
    <n v="3689"/>
    <n v="4.4000000000000004"/>
    <n v="24"/>
    <n v="55"/>
    <n v="48"/>
    <n v="383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988E91-EF1D-41C2-B393-D40CEBAB079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00:B103" firstHeaderRow="1" firstDataRow="1" firstDataCol="1"/>
  <pivotFields count="16">
    <pivotField showAll="0"/>
    <pivotField showAll="0">
      <items count="11">
        <item x="9"/>
        <item x="1"/>
        <item x="3"/>
        <item x="7"/>
        <item x="5"/>
        <item x="6"/>
        <item x="4"/>
        <item x="2"/>
        <item x="0"/>
        <item x="8"/>
        <item t="default"/>
      </items>
    </pivotField>
    <pivotField showAll="0"/>
    <pivotField dataField="1" showAll="0"/>
    <pivotField showAll="0"/>
    <pivotField showAll="0"/>
    <pivotField axis="axisRow"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showAll="0"/>
    <pivotField showAll="0"/>
    <pivotField showAll="0"/>
    <pivotField showAll="0"/>
    <pivotField showAll="0"/>
  </pivotFields>
  <rowFields count="1">
    <field x="6"/>
  </rowFields>
  <rowItems count="3">
    <i>
      <x/>
    </i>
    <i>
      <x v="1"/>
    </i>
    <i>
      <x v="2"/>
    </i>
  </rowItems>
  <colItems count="1">
    <i/>
  </colItems>
  <dataFields count="1">
    <dataField name="Average of Price ($)" fld="3"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310AC-D61A-4C6D-9400-34892B1109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4:L25" firstHeaderRow="0" firstDataRow="1" firstDataCol="1"/>
  <pivotFields count="16">
    <pivotField showAll="0">
      <items count="19">
        <item x="11"/>
        <item x="10"/>
        <item x="15"/>
        <item x="6"/>
        <item x="0"/>
        <item x="14"/>
        <item x="4"/>
        <item x="9"/>
        <item x="7"/>
        <item x="8"/>
        <item x="1"/>
        <item x="13"/>
        <item x="5"/>
        <item x="3"/>
        <item x="12"/>
        <item x="16"/>
        <item x="2"/>
        <item x="17"/>
        <item t="default"/>
      </items>
    </pivotField>
    <pivotField axis="axisRow" showAll="0">
      <items count="11">
        <item x="9"/>
        <item x="1"/>
        <item x="3"/>
        <item x="7"/>
        <item x="5"/>
        <item x="6"/>
        <item x="4"/>
        <item x="2"/>
        <item x="0"/>
        <item x="8"/>
        <item t="default"/>
      </items>
    </pivotField>
    <pivotField showAll="0"/>
    <pivotField showAll="0"/>
    <pivotField showAll="0"/>
    <pivotField showAll="0"/>
    <pivotField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showAll="0"/>
    <pivotField showAll="0"/>
    <pivotField dataField="1" showAll="0"/>
    <pivotField dataField="1"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Online Sales (%)" fld="13" baseField="0" baseItem="0"/>
    <dataField name="Sum of Offline Sales (%)"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5FAAB2-04BC-4DD8-9BF1-D54DBD5134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7:B36" firstHeaderRow="1" firstDataRow="1" firstDataCol="1"/>
  <pivotFields count="16">
    <pivotField axis="axisRow" showAll="0">
      <items count="19">
        <item x="11"/>
        <item x="10"/>
        <item x="15"/>
        <item x="6"/>
        <item x="0"/>
        <item x="14"/>
        <item x="4"/>
        <item x="9"/>
        <item x="7"/>
        <item x="8"/>
        <item x="1"/>
        <item x="13"/>
        <item x="5"/>
        <item x="3"/>
        <item x="12"/>
        <item x="16"/>
        <item x="2"/>
        <item x="17"/>
        <item t="default"/>
      </items>
    </pivotField>
    <pivotField showAll="0">
      <items count="11">
        <item x="9"/>
        <item x="1"/>
        <item x="3"/>
        <item x="7"/>
        <item x="5"/>
        <item x="6"/>
        <item x="4"/>
        <item x="2"/>
        <item x="0"/>
        <item x="8"/>
        <item t="default"/>
      </items>
    </pivotField>
    <pivotField showAll="0"/>
    <pivotField showAll="0"/>
    <pivotField dataField="1" showAll="0"/>
    <pivotField showAll="0"/>
    <pivotField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showAll="0"/>
    <pivotField showAll="0"/>
    <pivotField showAll="0"/>
    <pivotField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Units Sold (Millions)" fld="4"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AE7B76-BCA8-4BB6-89E4-7D5309ED269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2:Q51" firstHeaderRow="1" firstDataRow="1" firstDataCol="1"/>
  <pivotFields count="16">
    <pivotField axis="axisRow" showAll="0" sortType="descending">
      <items count="19">
        <item x="11"/>
        <item x="10"/>
        <item x="15"/>
        <item x="6"/>
        <item x="0"/>
        <item x="14"/>
        <item x="4"/>
        <item x="9"/>
        <item x="7"/>
        <item x="8"/>
        <item x="1"/>
        <item x="13"/>
        <item x="5"/>
        <item x="3"/>
        <item x="12"/>
        <item x="16"/>
        <item x="2"/>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9">
    <i>
      <x v="14"/>
    </i>
    <i>
      <x v="12"/>
    </i>
    <i>
      <x v="10"/>
    </i>
    <i>
      <x v="11"/>
    </i>
    <i>
      <x v="2"/>
    </i>
    <i>
      <x v="8"/>
    </i>
    <i>
      <x v="9"/>
    </i>
    <i>
      <x v="16"/>
    </i>
    <i>
      <x v="4"/>
    </i>
    <i>
      <x v="1"/>
    </i>
    <i>
      <x v="3"/>
    </i>
    <i>
      <x v="7"/>
    </i>
    <i>
      <x/>
    </i>
    <i>
      <x v="17"/>
    </i>
    <i>
      <x v="6"/>
    </i>
    <i>
      <x v="5"/>
    </i>
    <i>
      <x v="13"/>
    </i>
    <i>
      <x v="15"/>
    </i>
    <i t="grand">
      <x/>
    </i>
  </rowItems>
  <colItems count="1">
    <i/>
  </colItems>
  <dataFields count="1">
    <dataField name="Sum of Revenue ($M)" fld="15"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F8020-FDF6-403E-BB86-AF0891A36B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16">
    <pivotField showAll="0">
      <items count="19">
        <item x="11"/>
        <item x="10"/>
        <item x="15"/>
        <item x="6"/>
        <item x="0"/>
        <item x="14"/>
        <item x="4"/>
        <item x="9"/>
        <item x="7"/>
        <item x="8"/>
        <item x="1"/>
        <item x="13"/>
        <item x="5"/>
        <item x="3"/>
        <item x="12"/>
        <item x="16"/>
        <item x="2"/>
        <item x="17"/>
        <item t="default"/>
      </items>
    </pivotField>
    <pivotField axis="axisRow" showAll="0">
      <items count="11">
        <item x="9"/>
        <item x="1"/>
        <item x="3"/>
        <item x="7"/>
        <item x="5"/>
        <item x="6"/>
        <item x="4"/>
        <item x="2"/>
        <item x="0"/>
        <item x="8"/>
        <item t="default"/>
      </items>
    </pivotField>
    <pivotField showAll="0"/>
    <pivotField showAll="0"/>
    <pivotField showAll="0"/>
    <pivotField showAll="0"/>
    <pivotField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Revenue ($M)" fld="15" baseField="1"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65E043-D061-481D-BE95-7AE1CF360F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7" firstHeaderRow="1" firstDataRow="1" firstDataCol="1"/>
  <pivotFields count="16">
    <pivotField showAll="0">
      <items count="19">
        <item x="11"/>
        <item x="10"/>
        <item x="15"/>
        <item x="6"/>
        <item x="0"/>
        <item x="14"/>
        <item x="4"/>
        <item x="9"/>
        <item x="7"/>
        <item x="8"/>
        <item x="1"/>
        <item x="13"/>
        <item x="5"/>
        <item x="3"/>
        <item x="12"/>
        <item x="16"/>
        <item x="2"/>
        <item x="17"/>
        <item t="default"/>
      </items>
    </pivotField>
    <pivotField showAll="0">
      <items count="11">
        <item x="9"/>
        <item x="1"/>
        <item x="3"/>
        <item x="7"/>
        <item x="5"/>
        <item x="6"/>
        <item x="4"/>
        <item x="2"/>
        <item x="0"/>
        <item x="8"/>
        <item t="default"/>
      </items>
    </pivotField>
    <pivotField showAll="0"/>
    <pivotField showAll="0"/>
    <pivotField showAll="0"/>
    <pivotField showAll="0"/>
    <pivotField axis="axisRow"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showAll="0"/>
    <pivotField showAll="0"/>
    <pivotField showAll="0"/>
    <pivotField showAll="0"/>
    <pivotField dataField="1" showAll="0"/>
  </pivotFields>
  <rowFields count="1">
    <field x="6"/>
  </rowFields>
  <rowItems count="4">
    <i>
      <x/>
    </i>
    <i>
      <x v="1"/>
    </i>
    <i>
      <x v="2"/>
    </i>
    <i t="grand">
      <x/>
    </i>
  </rowItems>
  <colItems count="1">
    <i/>
  </colItems>
  <dataFields count="1">
    <dataField name="Sum of Revenue ($M)" fld="15"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6" count="1" selected="0">
            <x v="0"/>
          </reference>
        </references>
      </pivotArea>
    </chartFormat>
    <chartFormat chart="11" format="18">
      <pivotArea type="data" outline="0" fieldPosition="0">
        <references count="2">
          <reference field="4294967294" count="1" selected="0">
            <x v="0"/>
          </reference>
          <reference field="6" count="1" selected="0">
            <x v="1"/>
          </reference>
        </references>
      </pivotArea>
    </chartFormat>
    <chartFormat chart="11"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D7306-13B2-4FFB-971C-B47592EB4C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7:B78" firstHeaderRow="1" firstDataRow="1" firstDataCol="1"/>
  <pivotFields count="16">
    <pivotField showAll="0">
      <items count="19">
        <item x="11"/>
        <item x="10"/>
        <item x="15"/>
        <item x="6"/>
        <item x="0"/>
        <item x="14"/>
        <item x="4"/>
        <item x="9"/>
        <item x="7"/>
        <item x="8"/>
        <item x="1"/>
        <item x="13"/>
        <item x="5"/>
        <item x="3"/>
        <item x="12"/>
        <item x="16"/>
        <item x="2"/>
        <item x="17"/>
        <item t="default"/>
      </items>
    </pivotField>
    <pivotField axis="axisRow" showAll="0">
      <items count="11">
        <item x="9"/>
        <item x="1"/>
        <item x="3"/>
        <item x="7"/>
        <item x="5"/>
        <item x="6"/>
        <item x="4"/>
        <item x="2"/>
        <item x="0"/>
        <item x="8"/>
        <item t="default"/>
      </items>
    </pivotField>
    <pivotField showAll="0"/>
    <pivotField showAll="0"/>
    <pivotField showAll="0"/>
    <pivotField showAll="0"/>
    <pivotField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dataField="1"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Rating" fld="11" subtotal="average" baseField="1" baseItem="0"/>
  </dataFields>
  <formats count="1">
    <format dxfId="0">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B9DEE2-887E-4153-9D99-3AD9BCCEDAA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6:B120" firstHeaderRow="1" firstDataRow="1" firstDataCol="1"/>
  <pivotFields count="16">
    <pivotField showAll="0"/>
    <pivotField showAll="0">
      <items count="11">
        <item x="9"/>
        <item x="1"/>
        <item x="3"/>
        <item x="7"/>
        <item x="5"/>
        <item x="6"/>
        <item x="4"/>
        <item x="2"/>
        <item x="0"/>
        <item x="8"/>
        <item t="default"/>
      </items>
    </pivotField>
    <pivotField showAll="0"/>
    <pivotField showAll="0"/>
    <pivotField showAll="0"/>
    <pivotField showAll="0"/>
    <pivotField axis="axisRow"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Average of Rating" fld="11" subtotal="average" baseField="6"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5F3FC7-40C8-4406-83D7-C56BF7C876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5" firstHeaderRow="1" firstDataRow="1" firstDataCol="1"/>
  <pivotFields count="16">
    <pivotField showAll="0">
      <items count="19">
        <item x="11"/>
        <item x="10"/>
        <item x="15"/>
        <item x="6"/>
        <item x="0"/>
        <item x="14"/>
        <item x="4"/>
        <item x="9"/>
        <item x="7"/>
        <item x="8"/>
        <item x="1"/>
        <item x="13"/>
        <item x="5"/>
        <item x="3"/>
        <item x="12"/>
        <item x="16"/>
        <item x="2"/>
        <item x="17"/>
        <item t="default"/>
      </items>
    </pivotField>
    <pivotField showAll="0">
      <items count="11">
        <item x="9"/>
        <item x="1"/>
        <item x="3"/>
        <item x="7"/>
        <item x="5"/>
        <item x="6"/>
        <item x="4"/>
        <item x="2"/>
        <item x="0"/>
        <item x="8"/>
        <item t="default"/>
      </items>
    </pivotField>
    <pivotField showAll="0"/>
    <pivotField showAll="0"/>
    <pivotField showAll="0"/>
    <pivotField showAll="0"/>
    <pivotField showAll="0">
      <items count="4">
        <item x="1"/>
        <item x="0"/>
        <item x="2"/>
        <item t="default"/>
      </items>
    </pivotField>
    <pivotField axis="axisRow" showAll="0">
      <items count="7">
        <item x="0"/>
        <item x="3"/>
        <item x="4"/>
        <item x="1"/>
        <item x="5"/>
        <item x="2"/>
        <item t="default"/>
      </items>
    </pivotField>
    <pivotField showAll="0"/>
    <pivotField showAll="0">
      <items count="3">
        <item x="0"/>
        <item x="1"/>
        <item t="default"/>
      </items>
    </pivotField>
    <pivotField showAll="0"/>
    <pivotField showAll="0"/>
    <pivotField showAll="0"/>
    <pivotField showAll="0"/>
    <pivotField showAll="0"/>
    <pivotField dataField="1" showAll="0"/>
  </pivotFields>
  <rowFields count="1">
    <field x="7"/>
  </rowFields>
  <rowItems count="7">
    <i>
      <x/>
    </i>
    <i>
      <x v="1"/>
    </i>
    <i>
      <x v="2"/>
    </i>
    <i>
      <x v="3"/>
    </i>
    <i>
      <x v="4"/>
    </i>
    <i>
      <x v="5"/>
    </i>
    <i t="grand">
      <x/>
    </i>
  </rowItems>
  <colItems count="1">
    <i/>
  </colItems>
  <dataFields count="1">
    <dataField name="Sum of Revenue ($M)" fld="15" baseField="7"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DCEFEC-DBE9-4942-AEB8-4EE00046722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4:R55"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Discount (%)"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9A186B-53E5-4739-9EEA-91550F837C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2:B63" firstHeaderRow="1" firstDataRow="1" firstDataCol="1"/>
  <pivotFields count="16">
    <pivotField showAll="0"/>
    <pivotField axis="axisRow" showAll="0">
      <items count="11">
        <item x="9"/>
        <item x="1"/>
        <item x="3"/>
        <item x="7"/>
        <item x="5"/>
        <item x="6"/>
        <item x="4"/>
        <item x="2"/>
        <item x="0"/>
        <item x="8"/>
        <item t="default"/>
      </items>
    </pivotField>
    <pivotField showAll="0"/>
    <pivotField dataField="1" showAll="0"/>
    <pivotField showAll="0"/>
    <pivotField showAll="0"/>
    <pivotField showAll="0"/>
    <pivotField showAll="0">
      <items count="7">
        <item x="0"/>
        <item x="3"/>
        <item x="4"/>
        <item x="1"/>
        <item x="5"/>
        <item x="2"/>
        <item t="default"/>
      </items>
    </pivotField>
    <pivotField showAll="0"/>
    <pivotField showAll="0">
      <items count="3">
        <item x="0"/>
        <item x="1"/>
        <item t="default"/>
      </items>
    </pivotField>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Price " fld="3" subtotal="average" baseField="1" baseItem="0"/>
  </dataFields>
  <formats count="2">
    <format dxfId="2">
      <pivotArea outline="0" fieldPosition="0">
        <references count="1">
          <reference field="4294967294" count="1">
            <x v="0"/>
          </reference>
        </references>
      </pivotArea>
    </format>
    <format dxfId="1">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D90FB1-B167-47E9-A40D-0DB5077403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52:M55" firstHeaderRow="1" firstDataRow="1" firstDataCol="1"/>
  <pivotFields count="16">
    <pivotField showAll="0"/>
    <pivotField showAll="0">
      <items count="11">
        <item x="9"/>
        <item x="1"/>
        <item x="3"/>
        <item x="7"/>
        <item x="5"/>
        <item x="6"/>
        <item x="4"/>
        <item x="2"/>
        <item x="0"/>
        <item x="8"/>
        <item t="default"/>
      </items>
    </pivotField>
    <pivotField dataField="1" showAll="0"/>
    <pivotField showAll="0"/>
    <pivotField showAll="0"/>
    <pivotField showAll="0"/>
    <pivotField showAll="0">
      <items count="4">
        <item x="1"/>
        <item x="0"/>
        <item x="2"/>
        <item t="default"/>
      </items>
    </pivotField>
    <pivotField showAll="0">
      <items count="7">
        <item x="0"/>
        <item x="3"/>
        <item x="4"/>
        <item x="1"/>
        <item x="5"/>
        <item x="2"/>
        <item t="default"/>
      </items>
    </pivotField>
    <pivotField showAll="0"/>
    <pivotField axis="axisRow" showAll="0" sortType="ascending">
      <items count="3">
        <item x="0"/>
        <item x="1"/>
        <item t="default"/>
      </items>
    </pivotField>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Model" fld="2" subtotal="count" baseField="9"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77BC17-1E29-4B33-A606-FDA45B519EF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72:M76" firstHeaderRow="1" firstDataRow="1" firstDataCol="1"/>
  <pivotFields count="16">
    <pivotField showAll="0">
      <items count="19">
        <item x="11"/>
        <item x="10"/>
        <item x="15"/>
        <item x="6"/>
        <item x="0"/>
        <item x="14"/>
        <item x="4"/>
        <item x="9"/>
        <item x="7"/>
        <item x="8"/>
        <item x="1"/>
        <item x="13"/>
        <item x="5"/>
        <item x="3"/>
        <item x="12"/>
        <item x="16"/>
        <item x="2"/>
        <item x="17"/>
        <item t="default"/>
      </items>
    </pivotField>
    <pivotField showAll="0">
      <items count="11">
        <item x="9"/>
        <item x="1"/>
        <item x="3"/>
        <item x="7"/>
        <item x="5"/>
        <item x="6"/>
        <item x="4"/>
        <item x="2"/>
        <item x="0"/>
        <item x="8"/>
        <item t="default"/>
      </items>
    </pivotField>
    <pivotField showAll="0"/>
    <pivotField showAll="0"/>
    <pivotField showAll="0"/>
    <pivotField showAll="0"/>
    <pivotField axis="axisRow" showAll="0">
      <items count="4">
        <item x="1"/>
        <item x="0"/>
        <item x="2"/>
        <item t="default"/>
      </items>
    </pivotField>
    <pivotField showAll="0">
      <items count="7">
        <item x="0"/>
        <item x="3"/>
        <item x="4"/>
        <item x="1"/>
        <item x="5"/>
        <item x="2"/>
        <item t="default"/>
      </items>
    </pivotField>
    <pivotField showAll="0"/>
    <pivotField showAll="0">
      <items count="3">
        <item x="0"/>
        <item x="1"/>
        <item t="default"/>
      </items>
    </pivotField>
    <pivotField dataField="1"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Battery (mAh)" fld="10" subtotal="average" baseField="6" baseItem="0"/>
  </dataFields>
  <formats count="3">
    <format dxfId="5">
      <pivotArea collapsedLevelsAreSubtotals="1" fieldPosition="0">
        <references count="1">
          <reference field="6" count="1">
            <x v="1"/>
          </reference>
        </references>
      </pivotArea>
    </format>
    <format dxfId="4">
      <pivotArea collapsedLevelsAreSubtotals="1" fieldPosition="0">
        <references count="1">
          <reference field="6" count="1">
            <x v="2"/>
          </reference>
        </references>
      </pivotArea>
    </format>
    <format dxfId="3">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5EB24B2-A54E-4CE7-B99D-5F9B89D4518E}" sourceName="Brand">
  <pivotTables>
    <pivotTable tabId="2" name="PivotTable1"/>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3737120">
      <items count="10">
        <i x="9" s="1"/>
        <i x="1" s="1"/>
        <i x="3" s="1"/>
        <i x="7" s="1"/>
        <i x="5" s="1"/>
        <i x="6" s="1"/>
        <i x="4" s="1"/>
        <i x="2"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6F44BBC-6D0B-49F5-85A3-AA7CE8091B6E}" sourceName="Country">
  <pivotTables>
    <pivotTable tabId="2" name="PivotTable8"/>
    <pivotTable tabId="2" name="PivotTable1"/>
    <pivotTable tabId="2" name="PivotTable12"/>
    <pivotTable tabId="2" name="PivotTable2"/>
    <pivotTable tabId="2" name="PivotTable3"/>
    <pivotTable tabId="2" name="PivotTable4"/>
    <pivotTable tabId="2" name="PivotTable5"/>
  </pivotTables>
  <data>
    <tabular pivotCacheId="2093737120">
      <items count="18">
        <i x="11" s="1"/>
        <i x="10" s="1"/>
        <i x="15" s="1"/>
        <i x="6" s="1"/>
        <i x="0" s="1"/>
        <i x="14" s="1"/>
        <i x="4" s="1"/>
        <i x="9" s="1"/>
        <i x="7" s="1"/>
        <i x="8" s="1"/>
        <i x="1" s="1"/>
        <i x="13" s="1"/>
        <i x="5" s="1"/>
        <i x="3" s="1"/>
        <i x="12" s="1"/>
        <i x="16" s="1"/>
        <i x="2"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20CADE8-F020-4BA0-B518-E6D18CCA22F3}" sourceName="Category">
  <pivotTables>
    <pivotTable tabId="2" name="PivotTable8"/>
    <pivotTable tabId="2" name="PivotTable1"/>
    <pivotTable tabId="2" name="PivotTable12"/>
    <pivotTable tabId="2" name="PivotTable2"/>
    <pivotTable tabId="2" name="PivotTable3"/>
    <pivotTable tabId="2" name="PivotTable4"/>
    <pivotTable tabId="2" name="PivotTable5"/>
    <pivotTable tabId="2" name="PivotTable10"/>
    <pivotTable tabId="2" name="PivotTable7"/>
    <pivotTable tabId="2" name="PivotTable9"/>
  </pivotTables>
  <data>
    <tabular pivotCacheId="209373712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317C84C-81E5-4B83-AFDA-045417DA23DE}" sourceName="Year">
  <pivotTables>
    <pivotTable tabId="2" name="PivotTable8"/>
    <pivotTable tabId="2" name="PivotTable1"/>
    <pivotTable tabId="2" name="PivotTable12"/>
    <pivotTable tabId="2" name="PivotTable2"/>
    <pivotTable tabId="2" name="PivotTable3"/>
    <pivotTable tabId="2" name="PivotTable4"/>
    <pivotTable tabId="2" name="PivotTable5"/>
    <pivotTable tabId="2" name="PivotTable10"/>
    <pivotTable tabId="2" name="PivotTable6"/>
    <pivotTable tabId="2" name="PivotTable7"/>
    <pivotTable tabId="2" name="PivotTable9"/>
  </pivotTables>
  <data>
    <tabular pivotCacheId="2093737120">
      <items count="6">
        <i x="0" s="1"/>
        <i x="3" s="1"/>
        <i x="4"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G_Support" xr10:uid="{DA1D7C3A-AF00-42AB-96A9-87577F839377}" sourceName="5G Support">
  <pivotTables>
    <pivotTable tabId="2" name="PivotTable8"/>
    <pivotTable tabId="2" name="PivotTable1"/>
    <pivotTable tabId="2" name="PivotTable12"/>
    <pivotTable tabId="2" name="PivotTable2"/>
    <pivotTable tabId="2" name="PivotTable3"/>
    <pivotTable tabId="2" name="PivotTable4"/>
    <pivotTable tabId="2" name="PivotTable5"/>
    <pivotTable tabId="2" name="PivotTable10"/>
    <pivotTable tabId="2" name="PivotTable6"/>
    <pivotTable tabId="2" name="PivotTable7"/>
    <pivotTable tabId="2" name="PivotTable9"/>
  </pivotTables>
  <data>
    <tabular pivotCacheId="20937371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3" xr10:uid="{94AC5BC5-F32B-4781-8FD3-18EFAE93570F}" cache="Slicer_Brand" caption="Brand" columnCount="2" style="SlicerStyleOther2" rowHeight="288000"/>
  <slicer name="Country 3" xr10:uid="{D8064F43-DC7B-4A02-AA91-D360541F01E5}" cache="Slicer_Country1" caption="Country" columnCount="4" rowHeight="252000"/>
  <slicer name="Category 4" xr10:uid="{2B125330-82B6-4DE4-844F-DD05BFFBAEE6}" cache="Slicer_Category1" caption="Category" style="SlicerStyleOther2" rowHeight="396000"/>
  <slicer name="Year 4" xr10:uid="{5091515A-53B7-41A8-A74D-DCB4A888A385}" cache="Slicer_Year1" caption="Year" style="SlicerStyleOther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47449475-73E1-4886-A166-825AE073D8F0}" cache="Slicer_Brand" caption="Brand" columnCount="2" style="SlicerStyleOther2" rowHeight="288000"/>
  <slicer name="Country 2" xr10:uid="{B5A26E3C-15A9-463B-A613-B5011F23E4AC}" cache="Slicer_Country1" caption="Country" columnCount="4" rowHeight="252000"/>
  <slicer name="Category 2" xr10:uid="{05E6504C-F52D-4D10-B78C-6102FDCEA137}" cache="Slicer_Category1" caption="Category" style="SlicerStyleOther2" rowHeight="396000"/>
  <slicer name="Year 2" xr10:uid="{0B84C863-1E21-4DE3-B390-155B7FF5DB39}" cache="Slicer_Year1" caption="Year" style="SlicerStyleOther2"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95379A02-E03C-4204-BF1D-B946BE90A33D}" cache="Slicer_Brand" caption="Brand" columnCount="2" style="SlicerStyleOther2" rowHeight="216000"/>
  <slicer name="Category 3" xr10:uid="{5F339E97-85FF-4D2C-B24A-9ED5EEC898D0}" cache="Slicer_Category1" caption="Category" style="SlicerStyleOther2" rowHeight="324000"/>
  <slicer name="Year 3" xr10:uid="{E722E597-C873-478A-BCF9-9CD20264B66C}" cache="Slicer_Year1" caption="Year" style="SlicerStyleOther2" rowHeight="216000"/>
  <slicer name="5G Support 2" xr10:uid="{3F474D95-E853-4CFC-97D2-E01E8BD0B872}" cache="Slicer_5G_Support" caption="5G Support" rowHeight="43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1AB17E28-4CB2-477D-A1F6-57AE04BED8A7}" cache="Slicer_Brand" caption="Brand" style="SlicerStyleOther2" rowHeight="216000"/>
  <slicer name="Country 1" xr10:uid="{E1910B64-8818-4837-9B8C-64FD98F2AE0F}" cache="Slicer_Country1" caption="Country" rowHeight="234950"/>
  <slicer name="Country" xr10:uid="{821593B2-9B85-41C6-A881-5C155DD33FE1}" cache="Slicer_Country1" caption="Country" rowHeight="234950"/>
  <slicer name="Category 1" xr10:uid="{DB0E5252-AC30-4514-9D12-730735711551}" cache="Slicer_Category1" caption="Category" rowHeight="234950"/>
  <slicer name="Category" xr10:uid="{28AC4E74-D706-460F-947A-8F18B102F1D8}" cache="Slicer_Category1" caption="Category" rowHeight="234950"/>
  <slicer name="Year 1" xr10:uid="{5282495E-0426-4D27-8637-F0C87671ED69}" cache="Slicer_Year1" caption="Year" rowHeight="234950"/>
  <slicer name="Year" xr10:uid="{7D741BC9-9363-4338-A649-B6550E77CF30}" cache="Slicer_Year1" caption="Year" startItem="1" rowHeight="234950"/>
  <slicer name="5G Support" xr10:uid="{5880E3E2-A321-4A20-ADAF-3BC55ABF7AFA}" cache="Slicer_5G_Support" caption="5G Support" rowHeight="234950"/>
  <slicer name="5G Support 1" xr10:uid="{3FDDFD3C-CCC3-4077-9CF7-01C67B550F7A}" cache="Slicer_5G_Support" caption="5G Suppor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40FF-3CEC-4DDE-A913-17165687DBB1}">
  <sheetPr>
    <pageSetUpPr fitToPage="1"/>
  </sheetPr>
  <dimension ref="AG18"/>
  <sheetViews>
    <sheetView tabSelected="1" zoomScale="55" zoomScaleNormal="55" workbookViewId="0">
      <selection activeCell="AQ40" sqref="AQ40"/>
    </sheetView>
  </sheetViews>
  <sheetFormatPr defaultRowHeight="15" x14ac:dyDescent="0.25"/>
  <sheetData>
    <row r="18" spans="33:33" x14ac:dyDescent="0.25">
      <c r="AG18" s="8"/>
    </row>
  </sheetData>
  <pageMargins left="0.7" right="0.7" top="0.75" bottom="0.75" header="0.3" footer="0.3"/>
  <pageSetup scale="3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3814-E10F-481C-9340-8F19366F91B0}">
  <dimension ref="AG18"/>
  <sheetViews>
    <sheetView zoomScale="55" zoomScaleNormal="68" workbookViewId="0"/>
  </sheetViews>
  <sheetFormatPr defaultRowHeight="15" x14ac:dyDescent="0.25"/>
  <sheetData>
    <row r="18" spans="33:33" x14ac:dyDescent="0.25">
      <c r="AG18"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312F-EF8A-4B7C-BAA4-D174D8EC425E}">
  <dimension ref="A1:AG18"/>
  <sheetViews>
    <sheetView zoomScale="65" zoomScaleNormal="53" workbookViewId="0"/>
  </sheetViews>
  <sheetFormatPr defaultRowHeight="15" x14ac:dyDescent="0.25"/>
  <sheetData>
    <row r="1" spans="1:1" x14ac:dyDescent="0.25">
      <c r="A1" s="4"/>
    </row>
    <row r="18" spans="33:33" x14ac:dyDescent="0.25">
      <c r="AG18"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1"/>
  <sheetViews>
    <sheetView workbookViewId="0">
      <selection activeCell="G20" sqref="A1:P91"/>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v>330</v>
      </c>
      <c r="E2">
        <v>58</v>
      </c>
      <c r="F2">
        <v>23</v>
      </c>
      <c r="G2" t="s">
        <v>19</v>
      </c>
      <c r="H2">
        <v>2020</v>
      </c>
      <c r="I2" t="s">
        <v>20</v>
      </c>
      <c r="J2" t="s">
        <v>21</v>
      </c>
      <c r="K2">
        <v>3639</v>
      </c>
      <c r="L2">
        <v>3.8</v>
      </c>
      <c r="M2">
        <v>15</v>
      </c>
      <c r="N2">
        <v>59</v>
      </c>
      <c r="O2">
        <v>55</v>
      </c>
      <c r="P2">
        <v>19140</v>
      </c>
    </row>
    <row r="3" spans="1:16" x14ac:dyDescent="0.25">
      <c r="A3" t="s">
        <v>16</v>
      </c>
      <c r="B3" t="s">
        <v>22</v>
      </c>
      <c r="C3" t="s">
        <v>23</v>
      </c>
      <c r="D3">
        <v>409</v>
      </c>
      <c r="E3">
        <v>54</v>
      </c>
      <c r="F3">
        <v>56</v>
      </c>
      <c r="G3" t="s">
        <v>24</v>
      </c>
      <c r="H3">
        <v>2023</v>
      </c>
      <c r="I3" t="s">
        <v>20</v>
      </c>
      <c r="J3" t="s">
        <v>25</v>
      </c>
      <c r="K3">
        <v>3913</v>
      </c>
      <c r="L3">
        <v>4.5999999999999996</v>
      </c>
      <c r="M3">
        <v>14</v>
      </c>
      <c r="N3">
        <v>44</v>
      </c>
      <c r="O3">
        <v>25</v>
      </c>
      <c r="P3">
        <v>22086</v>
      </c>
    </row>
    <row r="4" spans="1:16" x14ac:dyDescent="0.25">
      <c r="A4" t="s">
        <v>26</v>
      </c>
      <c r="B4" t="s">
        <v>27</v>
      </c>
      <c r="C4" t="s">
        <v>28</v>
      </c>
      <c r="D4">
        <v>395</v>
      </c>
      <c r="E4">
        <v>22</v>
      </c>
      <c r="F4">
        <v>28</v>
      </c>
      <c r="G4" t="s">
        <v>19</v>
      </c>
      <c r="H4">
        <v>2020</v>
      </c>
      <c r="I4" t="s">
        <v>29</v>
      </c>
      <c r="J4" t="s">
        <v>21</v>
      </c>
      <c r="K4">
        <v>4482</v>
      </c>
      <c r="L4">
        <v>4.5</v>
      </c>
      <c r="M4">
        <v>12</v>
      </c>
      <c r="N4">
        <v>72</v>
      </c>
      <c r="O4">
        <v>53</v>
      </c>
      <c r="P4">
        <v>8690</v>
      </c>
    </row>
    <row r="5" spans="1:16" x14ac:dyDescent="0.25">
      <c r="A5" t="s">
        <v>30</v>
      </c>
      <c r="B5" t="s">
        <v>22</v>
      </c>
      <c r="C5" t="s">
        <v>28</v>
      </c>
      <c r="D5">
        <v>887</v>
      </c>
      <c r="E5">
        <v>45</v>
      </c>
      <c r="F5">
        <v>59</v>
      </c>
      <c r="G5" t="s">
        <v>24</v>
      </c>
      <c r="H5">
        <v>2025</v>
      </c>
      <c r="I5" t="s">
        <v>29</v>
      </c>
      <c r="J5" t="s">
        <v>21</v>
      </c>
      <c r="K5">
        <v>3808</v>
      </c>
      <c r="L5">
        <v>4.9000000000000004</v>
      </c>
      <c r="M5">
        <v>12</v>
      </c>
      <c r="N5">
        <v>71</v>
      </c>
      <c r="O5">
        <v>49</v>
      </c>
      <c r="P5">
        <v>39915</v>
      </c>
    </row>
    <row r="6" spans="1:16" x14ac:dyDescent="0.25">
      <c r="A6" t="s">
        <v>31</v>
      </c>
      <c r="B6" t="s">
        <v>32</v>
      </c>
      <c r="C6" t="s">
        <v>28</v>
      </c>
      <c r="D6">
        <v>827</v>
      </c>
      <c r="E6">
        <v>37</v>
      </c>
      <c r="F6">
        <v>21</v>
      </c>
      <c r="G6" t="s">
        <v>33</v>
      </c>
      <c r="H6">
        <v>2021</v>
      </c>
      <c r="I6" t="s">
        <v>34</v>
      </c>
      <c r="J6" t="s">
        <v>21</v>
      </c>
      <c r="K6">
        <v>5822</v>
      </c>
      <c r="L6">
        <v>4.4000000000000004</v>
      </c>
      <c r="M6">
        <v>18</v>
      </c>
      <c r="N6">
        <v>65</v>
      </c>
      <c r="O6">
        <v>34</v>
      </c>
      <c r="P6">
        <v>30599</v>
      </c>
    </row>
    <row r="7" spans="1:16" x14ac:dyDescent="0.25">
      <c r="A7" t="s">
        <v>35</v>
      </c>
      <c r="B7" t="s">
        <v>36</v>
      </c>
      <c r="C7" t="s">
        <v>18</v>
      </c>
      <c r="D7">
        <v>978</v>
      </c>
      <c r="E7">
        <v>66</v>
      </c>
      <c r="F7">
        <v>28</v>
      </c>
      <c r="G7" t="s">
        <v>33</v>
      </c>
      <c r="H7">
        <v>2022</v>
      </c>
      <c r="I7" t="s">
        <v>37</v>
      </c>
      <c r="J7" t="s">
        <v>25</v>
      </c>
      <c r="K7">
        <v>5958</v>
      </c>
      <c r="L7">
        <v>3.9</v>
      </c>
      <c r="M7">
        <v>24</v>
      </c>
      <c r="N7">
        <v>75</v>
      </c>
      <c r="O7">
        <v>35</v>
      </c>
      <c r="P7">
        <v>64548</v>
      </c>
    </row>
    <row r="8" spans="1:16" x14ac:dyDescent="0.25">
      <c r="A8" t="s">
        <v>38</v>
      </c>
      <c r="B8" t="s">
        <v>39</v>
      </c>
      <c r="C8" t="s">
        <v>40</v>
      </c>
      <c r="D8">
        <v>335</v>
      </c>
      <c r="E8">
        <v>63</v>
      </c>
      <c r="F8">
        <v>60</v>
      </c>
      <c r="G8" t="s">
        <v>24</v>
      </c>
      <c r="H8">
        <v>2024</v>
      </c>
      <c r="I8" t="s">
        <v>41</v>
      </c>
      <c r="J8" t="s">
        <v>25</v>
      </c>
      <c r="K8">
        <v>4017</v>
      </c>
      <c r="L8">
        <v>4</v>
      </c>
      <c r="M8">
        <v>8</v>
      </c>
      <c r="N8">
        <v>52</v>
      </c>
      <c r="O8">
        <v>47</v>
      </c>
      <c r="P8">
        <v>21105</v>
      </c>
    </row>
    <row r="9" spans="1:16" x14ac:dyDescent="0.25">
      <c r="A9" t="s">
        <v>42</v>
      </c>
      <c r="B9" t="s">
        <v>32</v>
      </c>
      <c r="C9" t="s">
        <v>43</v>
      </c>
      <c r="D9">
        <v>781</v>
      </c>
      <c r="E9">
        <v>46</v>
      </c>
      <c r="F9">
        <v>24</v>
      </c>
      <c r="G9" t="s">
        <v>19</v>
      </c>
      <c r="H9">
        <v>2024</v>
      </c>
      <c r="I9" t="s">
        <v>41</v>
      </c>
      <c r="J9" t="s">
        <v>21</v>
      </c>
      <c r="K9">
        <v>5094</v>
      </c>
      <c r="L9">
        <v>4</v>
      </c>
      <c r="M9">
        <v>15</v>
      </c>
      <c r="N9">
        <v>62</v>
      </c>
      <c r="O9">
        <v>56</v>
      </c>
      <c r="P9">
        <v>35926</v>
      </c>
    </row>
    <row r="10" spans="1:16" x14ac:dyDescent="0.25">
      <c r="A10" t="s">
        <v>38</v>
      </c>
      <c r="B10" t="s">
        <v>17</v>
      </c>
      <c r="C10" t="s">
        <v>43</v>
      </c>
      <c r="D10">
        <v>306</v>
      </c>
      <c r="E10">
        <v>36</v>
      </c>
      <c r="F10">
        <v>39</v>
      </c>
      <c r="G10" t="s">
        <v>19</v>
      </c>
      <c r="H10">
        <v>2025</v>
      </c>
      <c r="I10" t="s">
        <v>34</v>
      </c>
      <c r="J10" t="s">
        <v>21</v>
      </c>
      <c r="K10">
        <v>5917</v>
      </c>
      <c r="L10">
        <v>3.8</v>
      </c>
      <c r="M10">
        <v>21</v>
      </c>
      <c r="N10">
        <v>78</v>
      </c>
      <c r="O10">
        <v>38</v>
      </c>
      <c r="P10">
        <v>11016</v>
      </c>
    </row>
    <row r="11" spans="1:16" x14ac:dyDescent="0.25">
      <c r="A11" t="s">
        <v>44</v>
      </c>
      <c r="B11" t="s">
        <v>39</v>
      </c>
      <c r="C11" t="s">
        <v>23</v>
      </c>
      <c r="D11">
        <v>461</v>
      </c>
      <c r="E11">
        <v>36</v>
      </c>
      <c r="F11">
        <v>21</v>
      </c>
      <c r="G11" t="s">
        <v>24</v>
      </c>
      <c r="H11">
        <v>2021</v>
      </c>
      <c r="I11" t="s">
        <v>41</v>
      </c>
      <c r="J11" t="s">
        <v>21</v>
      </c>
      <c r="K11">
        <v>3269</v>
      </c>
      <c r="L11">
        <v>4.5</v>
      </c>
      <c r="M11">
        <v>19</v>
      </c>
      <c r="N11">
        <v>51</v>
      </c>
      <c r="O11">
        <v>21</v>
      </c>
      <c r="P11">
        <v>16596</v>
      </c>
    </row>
    <row r="12" spans="1:16" x14ac:dyDescent="0.25">
      <c r="A12" t="s">
        <v>45</v>
      </c>
      <c r="B12" t="s">
        <v>36</v>
      </c>
      <c r="C12" t="s">
        <v>40</v>
      </c>
      <c r="D12">
        <v>423</v>
      </c>
      <c r="E12">
        <v>40</v>
      </c>
      <c r="F12">
        <v>44</v>
      </c>
      <c r="G12" t="s">
        <v>24</v>
      </c>
      <c r="H12">
        <v>2021</v>
      </c>
      <c r="I12" t="s">
        <v>20</v>
      </c>
      <c r="J12" t="s">
        <v>25</v>
      </c>
      <c r="K12">
        <v>5947</v>
      </c>
      <c r="L12">
        <v>3.8</v>
      </c>
      <c r="M12">
        <v>20</v>
      </c>
      <c r="N12">
        <v>57</v>
      </c>
      <c r="O12">
        <v>42</v>
      </c>
      <c r="P12">
        <v>16920</v>
      </c>
    </row>
    <row r="13" spans="1:16" x14ac:dyDescent="0.25">
      <c r="A13" t="s">
        <v>46</v>
      </c>
      <c r="B13" t="s">
        <v>22</v>
      </c>
      <c r="C13" t="s">
        <v>28</v>
      </c>
      <c r="D13">
        <v>943</v>
      </c>
      <c r="E13">
        <v>63</v>
      </c>
      <c r="F13">
        <v>23</v>
      </c>
      <c r="G13" t="s">
        <v>24</v>
      </c>
      <c r="H13">
        <v>2024</v>
      </c>
      <c r="I13" t="s">
        <v>41</v>
      </c>
      <c r="J13" t="s">
        <v>25</v>
      </c>
      <c r="K13">
        <v>5948</v>
      </c>
      <c r="L13">
        <v>4.2</v>
      </c>
      <c r="M13">
        <v>22</v>
      </c>
      <c r="N13">
        <v>60</v>
      </c>
      <c r="O13">
        <v>24</v>
      </c>
      <c r="P13">
        <v>59409</v>
      </c>
    </row>
    <row r="14" spans="1:16" x14ac:dyDescent="0.25">
      <c r="A14" t="s">
        <v>38</v>
      </c>
      <c r="B14" t="s">
        <v>22</v>
      </c>
      <c r="C14" t="s">
        <v>28</v>
      </c>
      <c r="D14">
        <v>575</v>
      </c>
      <c r="E14">
        <v>19</v>
      </c>
      <c r="F14">
        <v>56</v>
      </c>
      <c r="G14" t="s">
        <v>24</v>
      </c>
      <c r="H14">
        <v>2024</v>
      </c>
      <c r="I14" t="s">
        <v>29</v>
      </c>
      <c r="J14" t="s">
        <v>21</v>
      </c>
      <c r="K14">
        <v>5575</v>
      </c>
      <c r="L14">
        <v>4.2</v>
      </c>
      <c r="M14">
        <v>13</v>
      </c>
      <c r="N14">
        <v>74</v>
      </c>
      <c r="O14">
        <v>41</v>
      </c>
      <c r="P14">
        <v>10925</v>
      </c>
    </row>
    <row r="15" spans="1:16" x14ac:dyDescent="0.25">
      <c r="A15" t="s">
        <v>38</v>
      </c>
      <c r="B15" t="s">
        <v>47</v>
      </c>
      <c r="C15" t="s">
        <v>43</v>
      </c>
      <c r="D15">
        <v>625</v>
      </c>
      <c r="E15">
        <v>21</v>
      </c>
      <c r="F15">
        <v>31</v>
      </c>
      <c r="G15" t="s">
        <v>19</v>
      </c>
      <c r="H15">
        <v>2022</v>
      </c>
      <c r="I15" t="s">
        <v>37</v>
      </c>
      <c r="J15" t="s">
        <v>25</v>
      </c>
      <c r="K15">
        <v>3208</v>
      </c>
      <c r="L15">
        <v>4.4000000000000004</v>
      </c>
      <c r="M15">
        <v>20</v>
      </c>
      <c r="N15">
        <v>75</v>
      </c>
      <c r="O15">
        <v>25</v>
      </c>
      <c r="P15">
        <v>13125</v>
      </c>
    </row>
    <row r="16" spans="1:16" x14ac:dyDescent="0.25">
      <c r="A16" t="s">
        <v>48</v>
      </c>
      <c r="B16" t="s">
        <v>47</v>
      </c>
      <c r="C16" t="s">
        <v>40</v>
      </c>
      <c r="D16">
        <v>341</v>
      </c>
      <c r="E16">
        <v>60</v>
      </c>
      <c r="F16">
        <v>15</v>
      </c>
      <c r="G16" t="s">
        <v>19</v>
      </c>
      <c r="H16">
        <v>2023</v>
      </c>
      <c r="I16" t="s">
        <v>34</v>
      </c>
      <c r="J16" t="s">
        <v>25</v>
      </c>
      <c r="K16">
        <v>4229</v>
      </c>
      <c r="L16">
        <v>4.7</v>
      </c>
      <c r="M16">
        <v>30</v>
      </c>
      <c r="N16">
        <v>52</v>
      </c>
      <c r="O16">
        <v>33</v>
      </c>
      <c r="P16">
        <v>20460</v>
      </c>
    </row>
    <row r="17" spans="1:16" x14ac:dyDescent="0.25">
      <c r="A17" t="s">
        <v>30</v>
      </c>
      <c r="B17" t="s">
        <v>36</v>
      </c>
      <c r="C17" t="s">
        <v>18</v>
      </c>
      <c r="D17">
        <v>1107</v>
      </c>
      <c r="E17">
        <v>79</v>
      </c>
      <c r="F17">
        <v>58</v>
      </c>
      <c r="G17" t="s">
        <v>19</v>
      </c>
      <c r="H17">
        <v>2022</v>
      </c>
      <c r="I17" t="s">
        <v>41</v>
      </c>
      <c r="J17" t="s">
        <v>21</v>
      </c>
      <c r="K17">
        <v>5553</v>
      </c>
      <c r="L17">
        <v>4.8</v>
      </c>
      <c r="M17">
        <v>25</v>
      </c>
      <c r="N17">
        <v>75</v>
      </c>
      <c r="O17">
        <v>57</v>
      </c>
      <c r="P17">
        <v>87453</v>
      </c>
    </row>
    <row r="18" spans="1:16" x14ac:dyDescent="0.25">
      <c r="A18" t="s">
        <v>49</v>
      </c>
      <c r="B18" t="s">
        <v>50</v>
      </c>
      <c r="C18" t="s">
        <v>18</v>
      </c>
      <c r="D18">
        <v>345</v>
      </c>
      <c r="E18">
        <v>18</v>
      </c>
      <c r="F18">
        <v>51</v>
      </c>
      <c r="G18" t="s">
        <v>33</v>
      </c>
      <c r="H18">
        <v>2020</v>
      </c>
      <c r="I18" t="s">
        <v>41</v>
      </c>
      <c r="J18" t="s">
        <v>21</v>
      </c>
      <c r="K18">
        <v>4865</v>
      </c>
      <c r="L18">
        <v>3.6</v>
      </c>
      <c r="M18">
        <v>18</v>
      </c>
      <c r="N18">
        <v>61</v>
      </c>
      <c r="O18">
        <v>45</v>
      </c>
      <c r="P18">
        <v>6210</v>
      </c>
    </row>
    <row r="19" spans="1:16" x14ac:dyDescent="0.25">
      <c r="A19" t="s">
        <v>51</v>
      </c>
      <c r="B19" t="s">
        <v>17</v>
      </c>
      <c r="C19" t="s">
        <v>23</v>
      </c>
      <c r="D19">
        <v>888</v>
      </c>
      <c r="E19">
        <v>57</v>
      </c>
      <c r="F19">
        <v>41</v>
      </c>
      <c r="G19" t="s">
        <v>24</v>
      </c>
      <c r="H19">
        <v>2025</v>
      </c>
      <c r="I19" t="s">
        <v>52</v>
      </c>
      <c r="J19" t="s">
        <v>21</v>
      </c>
      <c r="K19">
        <v>3234</v>
      </c>
      <c r="L19">
        <v>4.8</v>
      </c>
      <c r="M19">
        <v>27</v>
      </c>
      <c r="N19">
        <v>56</v>
      </c>
      <c r="O19">
        <v>37</v>
      </c>
      <c r="P19">
        <v>50616</v>
      </c>
    </row>
    <row r="20" spans="1:16" x14ac:dyDescent="0.25">
      <c r="A20" t="s">
        <v>16</v>
      </c>
      <c r="B20" t="s">
        <v>39</v>
      </c>
      <c r="C20" t="s">
        <v>18</v>
      </c>
      <c r="D20">
        <v>476</v>
      </c>
      <c r="E20">
        <v>26</v>
      </c>
      <c r="F20">
        <v>47</v>
      </c>
      <c r="G20" t="s">
        <v>24</v>
      </c>
      <c r="H20">
        <v>2020</v>
      </c>
      <c r="I20" t="s">
        <v>20</v>
      </c>
      <c r="J20" t="s">
        <v>21</v>
      </c>
      <c r="K20">
        <v>5517</v>
      </c>
      <c r="L20">
        <v>4.5999999999999996</v>
      </c>
      <c r="M20">
        <v>7</v>
      </c>
      <c r="N20">
        <v>58</v>
      </c>
      <c r="O20">
        <v>36</v>
      </c>
      <c r="P20">
        <v>12376</v>
      </c>
    </row>
    <row r="21" spans="1:16" x14ac:dyDescent="0.25">
      <c r="A21" t="s">
        <v>44</v>
      </c>
      <c r="B21" t="s">
        <v>47</v>
      </c>
      <c r="C21" t="s">
        <v>43</v>
      </c>
      <c r="D21">
        <v>229</v>
      </c>
      <c r="E21">
        <v>70</v>
      </c>
      <c r="F21">
        <v>25</v>
      </c>
      <c r="G21" t="s">
        <v>19</v>
      </c>
      <c r="H21">
        <v>2025</v>
      </c>
      <c r="I21" t="s">
        <v>41</v>
      </c>
      <c r="J21" t="s">
        <v>25</v>
      </c>
      <c r="K21">
        <v>5020</v>
      </c>
      <c r="L21">
        <v>3.7</v>
      </c>
      <c r="M21">
        <v>5</v>
      </c>
      <c r="N21">
        <v>46</v>
      </c>
      <c r="O21">
        <v>47</v>
      </c>
      <c r="P21">
        <v>16030</v>
      </c>
    </row>
    <row r="22" spans="1:16" x14ac:dyDescent="0.25">
      <c r="A22" t="s">
        <v>38</v>
      </c>
      <c r="B22" t="s">
        <v>32</v>
      </c>
      <c r="C22" t="s">
        <v>43</v>
      </c>
      <c r="D22">
        <v>486</v>
      </c>
      <c r="E22">
        <v>62</v>
      </c>
      <c r="F22">
        <v>50</v>
      </c>
      <c r="G22" t="s">
        <v>19</v>
      </c>
      <c r="H22">
        <v>2024</v>
      </c>
      <c r="I22" t="s">
        <v>37</v>
      </c>
      <c r="J22" t="s">
        <v>21</v>
      </c>
      <c r="K22">
        <v>5284</v>
      </c>
      <c r="L22">
        <v>5</v>
      </c>
      <c r="M22">
        <v>13</v>
      </c>
      <c r="N22">
        <v>55</v>
      </c>
      <c r="O22">
        <v>58</v>
      </c>
      <c r="P22">
        <v>30132</v>
      </c>
    </row>
    <row r="23" spans="1:16" x14ac:dyDescent="0.25">
      <c r="A23" t="s">
        <v>53</v>
      </c>
      <c r="B23" t="s">
        <v>27</v>
      </c>
      <c r="C23" t="s">
        <v>23</v>
      </c>
      <c r="D23">
        <v>600</v>
      </c>
      <c r="E23">
        <v>78</v>
      </c>
      <c r="F23">
        <v>7</v>
      </c>
      <c r="G23" t="s">
        <v>33</v>
      </c>
      <c r="H23">
        <v>2021</v>
      </c>
      <c r="I23" t="s">
        <v>41</v>
      </c>
      <c r="J23" t="s">
        <v>25</v>
      </c>
      <c r="K23">
        <v>3114</v>
      </c>
      <c r="L23">
        <v>3.6</v>
      </c>
      <c r="M23">
        <v>28</v>
      </c>
      <c r="N23">
        <v>54</v>
      </c>
      <c r="O23">
        <v>55</v>
      </c>
      <c r="P23">
        <v>46800</v>
      </c>
    </row>
    <row r="24" spans="1:16" x14ac:dyDescent="0.25">
      <c r="A24" t="s">
        <v>51</v>
      </c>
      <c r="B24" t="s">
        <v>36</v>
      </c>
      <c r="C24" t="s">
        <v>28</v>
      </c>
      <c r="D24">
        <v>235</v>
      </c>
      <c r="E24">
        <v>25</v>
      </c>
      <c r="F24">
        <v>8</v>
      </c>
      <c r="G24" t="s">
        <v>33</v>
      </c>
      <c r="H24">
        <v>2020</v>
      </c>
      <c r="I24" t="s">
        <v>52</v>
      </c>
      <c r="J24" t="s">
        <v>25</v>
      </c>
      <c r="K24">
        <v>3056</v>
      </c>
      <c r="L24">
        <v>4</v>
      </c>
      <c r="M24">
        <v>24</v>
      </c>
      <c r="N24">
        <v>63</v>
      </c>
      <c r="O24">
        <v>55</v>
      </c>
      <c r="P24">
        <v>5875</v>
      </c>
    </row>
    <row r="25" spans="1:16" x14ac:dyDescent="0.25">
      <c r="A25" t="s">
        <v>51</v>
      </c>
      <c r="B25" t="s">
        <v>39</v>
      </c>
      <c r="C25" t="s">
        <v>40</v>
      </c>
      <c r="D25">
        <v>946</v>
      </c>
      <c r="E25">
        <v>61</v>
      </c>
      <c r="F25">
        <v>57</v>
      </c>
      <c r="G25" t="s">
        <v>24</v>
      </c>
      <c r="H25">
        <v>2023</v>
      </c>
      <c r="I25" t="s">
        <v>41</v>
      </c>
      <c r="J25" t="s">
        <v>25</v>
      </c>
      <c r="K25">
        <v>4001</v>
      </c>
      <c r="L25">
        <v>5</v>
      </c>
      <c r="M25">
        <v>13</v>
      </c>
      <c r="N25">
        <v>76</v>
      </c>
      <c r="O25">
        <v>51</v>
      </c>
      <c r="P25">
        <v>57706</v>
      </c>
    </row>
    <row r="26" spans="1:16" x14ac:dyDescent="0.25">
      <c r="A26" t="s">
        <v>30</v>
      </c>
      <c r="B26" t="s">
        <v>22</v>
      </c>
      <c r="C26" t="s">
        <v>40</v>
      </c>
      <c r="D26">
        <v>517</v>
      </c>
      <c r="E26">
        <v>46</v>
      </c>
      <c r="F26">
        <v>40</v>
      </c>
      <c r="G26" t="s">
        <v>19</v>
      </c>
      <c r="H26">
        <v>2025</v>
      </c>
      <c r="I26" t="s">
        <v>52</v>
      </c>
      <c r="J26" t="s">
        <v>21</v>
      </c>
      <c r="K26">
        <v>3745</v>
      </c>
      <c r="L26">
        <v>3.5</v>
      </c>
      <c r="M26">
        <v>12</v>
      </c>
      <c r="N26">
        <v>46</v>
      </c>
      <c r="O26">
        <v>28</v>
      </c>
      <c r="P26">
        <v>23782</v>
      </c>
    </row>
    <row r="27" spans="1:16" x14ac:dyDescent="0.25">
      <c r="A27" t="s">
        <v>44</v>
      </c>
      <c r="B27" t="s">
        <v>50</v>
      </c>
      <c r="C27" t="s">
        <v>18</v>
      </c>
      <c r="D27">
        <v>593</v>
      </c>
      <c r="E27">
        <v>20</v>
      </c>
      <c r="F27">
        <v>17</v>
      </c>
      <c r="G27" t="s">
        <v>33</v>
      </c>
      <c r="H27">
        <v>2025</v>
      </c>
      <c r="I27" t="s">
        <v>34</v>
      </c>
      <c r="J27" t="s">
        <v>25</v>
      </c>
      <c r="K27">
        <v>4958</v>
      </c>
      <c r="L27">
        <v>3.5</v>
      </c>
      <c r="M27">
        <v>5</v>
      </c>
      <c r="N27">
        <v>51</v>
      </c>
      <c r="O27">
        <v>46</v>
      </c>
      <c r="P27">
        <v>11860</v>
      </c>
    </row>
    <row r="28" spans="1:16" x14ac:dyDescent="0.25">
      <c r="A28" t="s">
        <v>45</v>
      </c>
      <c r="B28" t="s">
        <v>47</v>
      </c>
      <c r="C28" t="s">
        <v>18</v>
      </c>
      <c r="D28">
        <v>1124</v>
      </c>
      <c r="E28">
        <v>73</v>
      </c>
      <c r="F28">
        <v>20</v>
      </c>
      <c r="G28" t="s">
        <v>24</v>
      </c>
      <c r="H28">
        <v>2023</v>
      </c>
      <c r="I28" t="s">
        <v>34</v>
      </c>
      <c r="J28" t="s">
        <v>25</v>
      </c>
      <c r="K28">
        <v>4588</v>
      </c>
      <c r="L28">
        <v>3.9</v>
      </c>
      <c r="M28">
        <v>12</v>
      </c>
      <c r="N28">
        <v>66</v>
      </c>
      <c r="O28">
        <v>59</v>
      </c>
      <c r="P28">
        <v>82052</v>
      </c>
    </row>
    <row r="29" spans="1:16" x14ac:dyDescent="0.25">
      <c r="A29" t="s">
        <v>54</v>
      </c>
      <c r="B29" t="s">
        <v>36</v>
      </c>
      <c r="C29" t="s">
        <v>40</v>
      </c>
      <c r="D29">
        <v>1166</v>
      </c>
      <c r="E29">
        <v>46</v>
      </c>
      <c r="F29">
        <v>39</v>
      </c>
      <c r="G29" t="s">
        <v>33</v>
      </c>
      <c r="H29">
        <v>2022</v>
      </c>
      <c r="I29" t="s">
        <v>37</v>
      </c>
      <c r="J29" t="s">
        <v>25</v>
      </c>
      <c r="K29">
        <v>4763</v>
      </c>
      <c r="L29">
        <v>3.8</v>
      </c>
      <c r="M29">
        <v>8</v>
      </c>
      <c r="N29">
        <v>44</v>
      </c>
      <c r="O29">
        <v>24</v>
      </c>
      <c r="P29">
        <v>53636</v>
      </c>
    </row>
    <row r="30" spans="1:16" x14ac:dyDescent="0.25">
      <c r="A30" t="s">
        <v>53</v>
      </c>
      <c r="B30" t="s">
        <v>17</v>
      </c>
      <c r="C30" t="s">
        <v>23</v>
      </c>
      <c r="D30">
        <v>639</v>
      </c>
      <c r="E30">
        <v>23</v>
      </c>
      <c r="F30">
        <v>35</v>
      </c>
      <c r="G30" t="s">
        <v>24</v>
      </c>
      <c r="H30">
        <v>2021</v>
      </c>
      <c r="I30" t="s">
        <v>20</v>
      </c>
      <c r="J30" t="s">
        <v>25</v>
      </c>
      <c r="K30">
        <v>4965</v>
      </c>
      <c r="L30">
        <v>3.7</v>
      </c>
      <c r="M30">
        <v>13</v>
      </c>
      <c r="N30">
        <v>51</v>
      </c>
      <c r="O30">
        <v>38</v>
      </c>
      <c r="P30">
        <v>14697</v>
      </c>
    </row>
    <row r="31" spans="1:16" x14ac:dyDescent="0.25">
      <c r="A31" t="s">
        <v>48</v>
      </c>
      <c r="B31" t="s">
        <v>17</v>
      </c>
      <c r="C31" t="s">
        <v>18</v>
      </c>
      <c r="D31">
        <v>920</v>
      </c>
      <c r="E31">
        <v>69</v>
      </c>
      <c r="F31">
        <v>35</v>
      </c>
      <c r="G31" t="s">
        <v>19</v>
      </c>
      <c r="H31">
        <v>2025</v>
      </c>
      <c r="I31" t="s">
        <v>20</v>
      </c>
      <c r="J31" t="s">
        <v>25</v>
      </c>
      <c r="K31">
        <v>4919</v>
      </c>
      <c r="L31">
        <v>3.6</v>
      </c>
      <c r="M31">
        <v>7</v>
      </c>
      <c r="N31">
        <v>47</v>
      </c>
      <c r="O31">
        <v>41</v>
      </c>
      <c r="P31">
        <v>63480</v>
      </c>
    </row>
    <row r="32" spans="1:16" x14ac:dyDescent="0.25">
      <c r="A32" t="s">
        <v>55</v>
      </c>
      <c r="B32" t="s">
        <v>27</v>
      </c>
      <c r="C32" t="s">
        <v>18</v>
      </c>
      <c r="D32">
        <v>647</v>
      </c>
      <c r="E32">
        <v>33</v>
      </c>
      <c r="F32">
        <v>44</v>
      </c>
      <c r="G32" t="s">
        <v>19</v>
      </c>
      <c r="H32">
        <v>2024</v>
      </c>
      <c r="I32" t="s">
        <v>34</v>
      </c>
      <c r="J32" t="s">
        <v>25</v>
      </c>
      <c r="K32">
        <v>3086</v>
      </c>
      <c r="L32">
        <v>4.3</v>
      </c>
      <c r="M32">
        <v>15</v>
      </c>
      <c r="N32">
        <v>66</v>
      </c>
      <c r="O32">
        <v>54</v>
      </c>
      <c r="P32">
        <v>21351</v>
      </c>
    </row>
    <row r="33" spans="1:16" x14ac:dyDescent="0.25">
      <c r="A33" t="s">
        <v>49</v>
      </c>
      <c r="B33" t="s">
        <v>56</v>
      </c>
      <c r="C33" t="s">
        <v>43</v>
      </c>
      <c r="D33">
        <v>382</v>
      </c>
      <c r="E33">
        <v>74</v>
      </c>
      <c r="F33">
        <v>28</v>
      </c>
      <c r="G33" t="s">
        <v>24</v>
      </c>
      <c r="H33">
        <v>2021</v>
      </c>
      <c r="I33" t="s">
        <v>41</v>
      </c>
      <c r="J33" t="s">
        <v>21</v>
      </c>
      <c r="K33">
        <v>3733</v>
      </c>
      <c r="L33">
        <v>3.6</v>
      </c>
      <c r="M33">
        <v>21</v>
      </c>
      <c r="N33">
        <v>74</v>
      </c>
      <c r="O33">
        <v>47</v>
      </c>
      <c r="P33">
        <v>28268</v>
      </c>
    </row>
    <row r="34" spans="1:16" x14ac:dyDescent="0.25">
      <c r="A34" t="s">
        <v>57</v>
      </c>
      <c r="B34" t="s">
        <v>22</v>
      </c>
      <c r="C34" t="s">
        <v>28</v>
      </c>
      <c r="D34">
        <v>430</v>
      </c>
      <c r="E34">
        <v>8</v>
      </c>
      <c r="F34">
        <v>43</v>
      </c>
      <c r="G34" t="s">
        <v>19</v>
      </c>
      <c r="H34">
        <v>2024</v>
      </c>
      <c r="I34" t="s">
        <v>37</v>
      </c>
      <c r="J34" t="s">
        <v>25</v>
      </c>
      <c r="K34">
        <v>5363</v>
      </c>
      <c r="L34">
        <v>4.5999999999999996</v>
      </c>
      <c r="M34">
        <v>12</v>
      </c>
      <c r="N34">
        <v>66</v>
      </c>
      <c r="O34">
        <v>43</v>
      </c>
      <c r="P34">
        <v>3440</v>
      </c>
    </row>
    <row r="35" spans="1:16" x14ac:dyDescent="0.25">
      <c r="A35" t="s">
        <v>26</v>
      </c>
      <c r="B35" t="s">
        <v>56</v>
      </c>
      <c r="C35" t="s">
        <v>23</v>
      </c>
      <c r="D35">
        <v>781</v>
      </c>
      <c r="E35">
        <v>79</v>
      </c>
      <c r="F35">
        <v>30</v>
      </c>
      <c r="G35" t="s">
        <v>24</v>
      </c>
      <c r="H35">
        <v>2022</v>
      </c>
      <c r="I35" t="s">
        <v>41</v>
      </c>
      <c r="J35" t="s">
        <v>25</v>
      </c>
      <c r="K35">
        <v>4332</v>
      </c>
      <c r="L35">
        <v>3.8</v>
      </c>
      <c r="M35">
        <v>10</v>
      </c>
      <c r="N35">
        <v>57</v>
      </c>
      <c r="O35">
        <v>59</v>
      </c>
      <c r="P35">
        <v>61699</v>
      </c>
    </row>
    <row r="36" spans="1:16" x14ac:dyDescent="0.25">
      <c r="A36" t="s">
        <v>57</v>
      </c>
      <c r="B36" t="s">
        <v>58</v>
      </c>
      <c r="C36" t="s">
        <v>43</v>
      </c>
      <c r="D36">
        <v>897</v>
      </c>
      <c r="E36">
        <v>21</v>
      </c>
      <c r="F36">
        <v>18</v>
      </c>
      <c r="G36" t="s">
        <v>24</v>
      </c>
      <c r="H36">
        <v>2020</v>
      </c>
      <c r="I36" t="s">
        <v>41</v>
      </c>
      <c r="J36" t="s">
        <v>25</v>
      </c>
      <c r="K36">
        <v>4808</v>
      </c>
      <c r="L36">
        <v>4.3</v>
      </c>
      <c r="M36">
        <v>14</v>
      </c>
      <c r="N36">
        <v>43</v>
      </c>
      <c r="O36">
        <v>44</v>
      </c>
      <c r="P36">
        <v>18837</v>
      </c>
    </row>
    <row r="37" spans="1:16" x14ac:dyDescent="0.25">
      <c r="A37" t="s">
        <v>54</v>
      </c>
      <c r="B37" t="s">
        <v>36</v>
      </c>
      <c r="C37" t="s">
        <v>18</v>
      </c>
      <c r="D37">
        <v>281</v>
      </c>
      <c r="E37">
        <v>21</v>
      </c>
      <c r="F37">
        <v>14</v>
      </c>
      <c r="G37" t="s">
        <v>19</v>
      </c>
      <c r="H37">
        <v>2025</v>
      </c>
      <c r="I37" t="s">
        <v>20</v>
      </c>
      <c r="J37" t="s">
        <v>21</v>
      </c>
      <c r="K37">
        <v>3380</v>
      </c>
      <c r="L37">
        <v>4.9000000000000004</v>
      </c>
      <c r="M37">
        <v>27</v>
      </c>
      <c r="N37">
        <v>57</v>
      </c>
      <c r="O37">
        <v>54</v>
      </c>
      <c r="P37">
        <v>5901</v>
      </c>
    </row>
    <row r="38" spans="1:16" x14ac:dyDescent="0.25">
      <c r="A38" t="s">
        <v>16</v>
      </c>
      <c r="B38" t="s">
        <v>17</v>
      </c>
      <c r="C38" t="s">
        <v>18</v>
      </c>
      <c r="D38">
        <v>1099</v>
      </c>
      <c r="E38">
        <v>62</v>
      </c>
      <c r="F38">
        <v>9</v>
      </c>
      <c r="G38" t="s">
        <v>33</v>
      </c>
      <c r="H38">
        <v>2020</v>
      </c>
      <c r="I38" t="s">
        <v>52</v>
      </c>
      <c r="J38" t="s">
        <v>21</v>
      </c>
      <c r="K38">
        <v>4707</v>
      </c>
      <c r="L38">
        <v>3.8</v>
      </c>
      <c r="M38">
        <v>9</v>
      </c>
      <c r="N38">
        <v>52</v>
      </c>
      <c r="O38">
        <v>39</v>
      </c>
      <c r="P38">
        <v>68138</v>
      </c>
    </row>
    <row r="39" spans="1:16" x14ac:dyDescent="0.25">
      <c r="A39" t="s">
        <v>44</v>
      </c>
      <c r="B39" t="s">
        <v>56</v>
      </c>
      <c r="C39" t="s">
        <v>28</v>
      </c>
      <c r="D39">
        <v>1094</v>
      </c>
      <c r="E39">
        <v>23</v>
      </c>
      <c r="F39">
        <v>6</v>
      </c>
      <c r="G39" t="s">
        <v>19</v>
      </c>
      <c r="H39">
        <v>2023</v>
      </c>
      <c r="I39" t="s">
        <v>34</v>
      </c>
      <c r="J39" t="s">
        <v>25</v>
      </c>
      <c r="K39">
        <v>3200</v>
      </c>
      <c r="L39">
        <v>4.0999999999999996</v>
      </c>
      <c r="M39">
        <v>25</v>
      </c>
      <c r="N39">
        <v>56</v>
      </c>
      <c r="O39">
        <v>36</v>
      </c>
      <c r="P39">
        <v>25162</v>
      </c>
    </row>
    <row r="40" spans="1:16" x14ac:dyDescent="0.25">
      <c r="A40" t="s">
        <v>30</v>
      </c>
      <c r="B40" t="s">
        <v>58</v>
      </c>
      <c r="C40" t="s">
        <v>43</v>
      </c>
      <c r="D40">
        <v>608</v>
      </c>
      <c r="E40">
        <v>31</v>
      </c>
      <c r="F40">
        <v>21</v>
      </c>
      <c r="G40" t="s">
        <v>19</v>
      </c>
      <c r="H40">
        <v>2023</v>
      </c>
      <c r="I40" t="s">
        <v>29</v>
      </c>
      <c r="J40" t="s">
        <v>25</v>
      </c>
      <c r="K40">
        <v>3083</v>
      </c>
      <c r="L40">
        <v>4.9000000000000004</v>
      </c>
      <c r="M40">
        <v>24</v>
      </c>
      <c r="N40">
        <v>55</v>
      </c>
      <c r="O40">
        <v>37</v>
      </c>
      <c r="P40">
        <v>18848</v>
      </c>
    </row>
    <row r="41" spans="1:16" x14ac:dyDescent="0.25">
      <c r="A41" t="s">
        <v>38</v>
      </c>
      <c r="B41" t="s">
        <v>58</v>
      </c>
      <c r="C41" t="s">
        <v>28</v>
      </c>
      <c r="D41">
        <v>1018</v>
      </c>
      <c r="E41">
        <v>43</v>
      </c>
      <c r="F41">
        <v>14</v>
      </c>
      <c r="G41" t="s">
        <v>24</v>
      </c>
      <c r="H41">
        <v>2021</v>
      </c>
      <c r="I41" t="s">
        <v>37</v>
      </c>
      <c r="J41" t="s">
        <v>25</v>
      </c>
      <c r="K41">
        <v>4736</v>
      </c>
      <c r="L41">
        <v>4.0999999999999996</v>
      </c>
      <c r="M41">
        <v>15</v>
      </c>
      <c r="N41">
        <v>72</v>
      </c>
      <c r="O41">
        <v>49</v>
      </c>
      <c r="P41">
        <v>43774</v>
      </c>
    </row>
    <row r="42" spans="1:16" x14ac:dyDescent="0.25">
      <c r="A42" t="s">
        <v>48</v>
      </c>
      <c r="B42" t="s">
        <v>27</v>
      </c>
      <c r="C42" t="s">
        <v>23</v>
      </c>
      <c r="D42">
        <v>924</v>
      </c>
      <c r="E42">
        <v>64</v>
      </c>
      <c r="F42">
        <v>37</v>
      </c>
      <c r="G42" t="s">
        <v>33</v>
      </c>
      <c r="H42">
        <v>2025</v>
      </c>
      <c r="I42" t="s">
        <v>37</v>
      </c>
      <c r="J42" t="s">
        <v>21</v>
      </c>
      <c r="K42">
        <v>4559</v>
      </c>
      <c r="L42">
        <v>4</v>
      </c>
      <c r="M42">
        <v>17</v>
      </c>
      <c r="N42">
        <v>72</v>
      </c>
      <c r="O42">
        <v>44</v>
      </c>
      <c r="P42">
        <v>59136</v>
      </c>
    </row>
    <row r="43" spans="1:16" x14ac:dyDescent="0.25">
      <c r="A43" t="s">
        <v>44</v>
      </c>
      <c r="B43" t="s">
        <v>32</v>
      </c>
      <c r="C43" t="s">
        <v>40</v>
      </c>
      <c r="D43">
        <v>355</v>
      </c>
      <c r="E43">
        <v>29</v>
      </c>
      <c r="F43">
        <v>49</v>
      </c>
      <c r="G43" t="s">
        <v>19</v>
      </c>
      <c r="H43">
        <v>2024</v>
      </c>
      <c r="I43" t="s">
        <v>41</v>
      </c>
      <c r="J43" t="s">
        <v>25</v>
      </c>
      <c r="K43">
        <v>3192</v>
      </c>
      <c r="L43">
        <v>3.8</v>
      </c>
      <c r="M43">
        <v>15</v>
      </c>
      <c r="N43">
        <v>78</v>
      </c>
      <c r="O43">
        <v>20</v>
      </c>
      <c r="P43">
        <v>10295</v>
      </c>
    </row>
    <row r="44" spans="1:16" x14ac:dyDescent="0.25">
      <c r="A44" t="s">
        <v>44</v>
      </c>
      <c r="B44" t="s">
        <v>36</v>
      </c>
      <c r="C44" t="s">
        <v>18</v>
      </c>
      <c r="D44">
        <v>436</v>
      </c>
      <c r="E44">
        <v>41</v>
      </c>
      <c r="F44">
        <v>34</v>
      </c>
      <c r="G44" t="s">
        <v>24</v>
      </c>
      <c r="H44">
        <v>2020</v>
      </c>
      <c r="I44" t="s">
        <v>34</v>
      </c>
      <c r="J44" t="s">
        <v>21</v>
      </c>
      <c r="K44">
        <v>5787</v>
      </c>
      <c r="L44">
        <v>3.7</v>
      </c>
      <c r="M44">
        <v>10</v>
      </c>
      <c r="N44">
        <v>60</v>
      </c>
      <c r="O44">
        <v>21</v>
      </c>
      <c r="P44">
        <v>17876</v>
      </c>
    </row>
    <row r="45" spans="1:16" x14ac:dyDescent="0.25">
      <c r="A45" t="s">
        <v>16</v>
      </c>
      <c r="B45" t="s">
        <v>22</v>
      </c>
      <c r="C45" t="s">
        <v>40</v>
      </c>
      <c r="D45">
        <v>640</v>
      </c>
      <c r="E45">
        <v>21</v>
      </c>
      <c r="F45">
        <v>16</v>
      </c>
      <c r="G45" t="s">
        <v>33</v>
      </c>
      <c r="H45">
        <v>2023</v>
      </c>
      <c r="I45" t="s">
        <v>41</v>
      </c>
      <c r="J45" t="s">
        <v>25</v>
      </c>
      <c r="K45">
        <v>5370</v>
      </c>
      <c r="L45">
        <v>4.2</v>
      </c>
      <c r="M45">
        <v>6</v>
      </c>
      <c r="N45">
        <v>41</v>
      </c>
      <c r="O45">
        <v>51</v>
      </c>
      <c r="P45">
        <v>13440</v>
      </c>
    </row>
    <row r="46" spans="1:16" x14ac:dyDescent="0.25">
      <c r="A46" t="s">
        <v>59</v>
      </c>
      <c r="B46" t="s">
        <v>27</v>
      </c>
      <c r="C46" t="s">
        <v>23</v>
      </c>
      <c r="D46">
        <v>1057</v>
      </c>
      <c r="E46">
        <v>33</v>
      </c>
      <c r="F46">
        <v>25</v>
      </c>
      <c r="G46" t="s">
        <v>33</v>
      </c>
      <c r="H46">
        <v>2022</v>
      </c>
      <c r="I46" t="s">
        <v>29</v>
      </c>
      <c r="J46" t="s">
        <v>21</v>
      </c>
      <c r="K46">
        <v>5151</v>
      </c>
      <c r="L46">
        <v>4.2</v>
      </c>
      <c r="M46">
        <v>17</v>
      </c>
      <c r="N46">
        <v>75</v>
      </c>
      <c r="O46">
        <v>58</v>
      </c>
      <c r="P46">
        <v>34881</v>
      </c>
    </row>
    <row r="47" spans="1:16" x14ac:dyDescent="0.25">
      <c r="A47" t="s">
        <v>53</v>
      </c>
      <c r="B47" t="s">
        <v>58</v>
      </c>
      <c r="C47" t="s">
        <v>18</v>
      </c>
      <c r="D47">
        <v>1183</v>
      </c>
      <c r="E47">
        <v>53</v>
      </c>
      <c r="F47">
        <v>23</v>
      </c>
      <c r="G47" t="s">
        <v>33</v>
      </c>
      <c r="H47">
        <v>2025</v>
      </c>
      <c r="I47" t="s">
        <v>20</v>
      </c>
      <c r="J47" t="s">
        <v>25</v>
      </c>
      <c r="K47">
        <v>4252</v>
      </c>
      <c r="L47">
        <v>5</v>
      </c>
      <c r="M47">
        <v>18</v>
      </c>
      <c r="N47">
        <v>51</v>
      </c>
      <c r="O47">
        <v>50</v>
      </c>
      <c r="P47">
        <v>62699</v>
      </c>
    </row>
    <row r="48" spans="1:16" x14ac:dyDescent="0.25">
      <c r="A48" t="s">
        <v>54</v>
      </c>
      <c r="B48" t="s">
        <v>17</v>
      </c>
      <c r="C48" t="s">
        <v>23</v>
      </c>
      <c r="D48">
        <v>324</v>
      </c>
      <c r="E48">
        <v>7</v>
      </c>
      <c r="F48">
        <v>31</v>
      </c>
      <c r="G48" t="s">
        <v>19</v>
      </c>
      <c r="H48">
        <v>2023</v>
      </c>
      <c r="I48" t="s">
        <v>41</v>
      </c>
      <c r="J48" t="s">
        <v>25</v>
      </c>
      <c r="K48">
        <v>5186</v>
      </c>
      <c r="L48">
        <v>5</v>
      </c>
      <c r="M48">
        <v>7</v>
      </c>
      <c r="N48">
        <v>62</v>
      </c>
      <c r="O48">
        <v>25</v>
      </c>
      <c r="P48">
        <v>2268</v>
      </c>
    </row>
    <row r="49" spans="1:16" x14ac:dyDescent="0.25">
      <c r="A49" t="s">
        <v>53</v>
      </c>
      <c r="B49" t="s">
        <v>32</v>
      </c>
      <c r="C49" t="s">
        <v>18</v>
      </c>
      <c r="D49">
        <v>471</v>
      </c>
      <c r="E49">
        <v>57</v>
      </c>
      <c r="F49">
        <v>9</v>
      </c>
      <c r="G49" t="s">
        <v>19</v>
      </c>
      <c r="H49">
        <v>2025</v>
      </c>
      <c r="I49" t="s">
        <v>34</v>
      </c>
      <c r="J49" t="s">
        <v>21</v>
      </c>
      <c r="K49">
        <v>5246</v>
      </c>
      <c r="L49">
        <v>4.9000000000000004</v>
      </c>
      <c r="M49">
        <v>15</v>
      </c>
      <c r="N49">
        <v>44</v>
      </c>
      <c r="O49">
        <v>56</v>
      </c>
      <c r="P49">
        <v>26847</v>
      </c>
    </row>
    <row r="50" spans="1:16" x14ac:dyDescent="0.25">
      <c r="A50" t="s">
        <v>48</v>
      </c>
      <c r="B50" t="s">
        <v>27</v>
      </c>
      <c r="C50" t="s">
        <v>40</v>
      </c>
      <c r="D50">
        <v>836</v>
      </c>
      <c r="E50">
        <v>8</v>
      </c>
      <c r="F50">
        <v>17</v>
      </c>
      <c r="G50" t="s">
        <v>24</v>
      </c>
      <c r="H50">
        <v>2021</v>
      </c>
      <c r="I50" t="s">
        <v>29</v>
      </c>
      <c r="J50" t="s">
        <v>21</v>
      </c>
      <c r="K50">
        <v>3676</v>
      </c>
      <c r="L50">
        <v>4.9000000000000004</v>
      </c>
      <c r="M50">
        <v>22</v>
      </c>
      <c r="N50">
        <v>49</v>
      </c>
      <c r="O50">
        <v>33</v>
      </c>
      <c r="P50">
        <v>6688</v>
      </c>
    </row>
    <row r="51" spans="1:16" x14ac:dyDescent="0.25">
      <c r="A51" t="s">
        <v>42</v>
      </c>
      <c r="B51" t="s">
        <v>22</v>
      </c>
      <c r="C51" t="s">
        <v>43</v>
      </c>
      <c r="D51">
        <v>444</v>
      </c>
      <c r="E51">
        <v>66</v>
      </c>
      <c r="F51">
        <v>35</v>
      </c>
      <c r="G51" t="s">
        <v>24</v>
      </c>
      <c r="H51">
        <v>2025</v>
      </c>
      <c r="I51" t="s">
        <v>29</v>
      </c>
      <c r="J51" t="s">
        <v>21</v>
      </c>
      <c r="K51">
        <v>5698</v>
      </c>
      <c r="L51">
        <v>4.0999999999999996</v>
      </c>
      <c r="M51">
        <v>13</v>
      </c>
      <c r="N51">
        <v>77</v>
      </c>
      <c r="O51">
        <v>56</v>
      </c>
      <c r="P51">
        <v>29304</v>
      </c>
    </row>
    <row r="52" spans="1:16" x14ac:dyDescent="0.25">
      <c r="A52" t="s">
        <v>46</v>
      </c>
      <c r="B52" t="s">
        <v>36</v>
      </c>
      <c r="C52" t="s">
        <v>40</v>
      </c>
      <c r="D52">
        <v>897</v>
      </c>
      <c r="E52">
        <v>56</v>
      </c>
      <c r="F52">
        <v>37</v>
      </c>
      <c r="G52" t="s">
        <v>19</v>
      </c>
      <c r="H52">
        <v>2024</v>
      </c>
      <c r="I52" t="s">
        <v>37</v>
      </c>
      <c r="J52" t="s">
        <v>25</v>
      </c>
      <c r="K52">
        <v>4750</v>
      </c>
      <c r="L52">
        <v>4.4000000000000004</v>
      </c>
      <c r="M52">
        <v>7</v>
      </c>
      <c r="N52">
        <v>72</v>
      </c>
      <c r="O52">
        <v>40</v>
      </c>
      <c r="P52">
        <v>50232</v>
      </c>
    </row>
    <row r="53" spans="1:16" x14ac:dyDescent="0.25">
      <c r="A53" t="s">
        <v>55</v>
      </c>
      <c r="B53" t="s">
        <v>32</v>
      </c>
      <c r="C53" t="s">
        <v>28</v>
      </c>
      <c r="D53">
        <v>497</v>
      </c>
      <c r="E53">
        <v>63</v>
      </c>
      <c r="F53">
        <v>30</v>
      </c>
      <c r="G53" t="s">
        <v>24</v>
      </c>
      <c r="H53">
        <v>2022</v>
      </c>
      <c r="I53" t="s">
        <v>20</v>
      </c>
      <c r="J53" t="s">
        <v>25</v>
      </c>
      <c r="K53">
        <v>4947</v>
      </c>
      <c r="L53">
        <v>3.8</v>
      </c>
      <c r="M53">
        <v>10</v>
      </c>
      <c r="N53">
        <v>41</v>
      </c>
      <c r="O53">
        <v>59</v>
      </c>
      <c r="P53">
        <v>31311</v>
      </c>
    </row>
    <row r="54" spans="1:16" x14ac:dyDescent="0.25">
      <c r="A54" t="s">
        <v>55</v>
      </c>
      <c r="B54" t="s">
        <v>56</v>
      </c>
      <c r="C54" t="s">
        <v>43</v>
      </c>
      <c r="D54">
        <v>1059</v>
      </c>
      <c r="E54">
        <v>63</v>
      </c>
      <c r="F54">
        <v>8</v>
      </c>
      <c r="G54" t="s">
        <v>19</v>
      </c>
      <c r="H54">
        <v>2023</v>
      </c>
      <c r="I54" t="s">
        <v>37</v>
      </c>
      <c r="J54" t="s">
        <v>25</v>
      </c>
      <c r="K54">
        <v>3465</v>
      </c>
      <c r="L54">
        <v>4.5</v>
      </c>
      <c r="M54">
        <v>19</v>
      </c>
      <c r="N54">
        <v>64</v>
      </c>
      <c r="O54">
        <v>37</v>
      </c>
      <c r="P54">
        <v>66717</v>
      </c>
    </row>
    <row r="55" spans="1:16" x14ac:dyDescent="0.25">
      <c r="A55" t="s">
        <v>38</v>
      </c>
      <c r="B55" t="s">
        <v>32</v>
      </c>
      <c r="C55" t="s">
        <v>43</v>
      </c>
      <c r="D55">
        <v>282</v>
      </c>
      <c r="E55">
        <v>50</v>
      </c>
      <c r="F55">
        <v>20</v>
      </c>
      <c r="G55" t="s">
        <v>33</v>
      </c>
      <c r="H55">
        <v>2024</v>
      </c>
      <c r="I55" t="s">
        <v>41</v>
      </c>
      <c r="J55" t="s">
        <v>21</v>
      </c>
      <c r="K55">
        <v>4748</v>
      </c>
      <c r="L55">
        <v>5</v>
      </c>
      <c r="M55">
        <v>27</v>
      </c>
      <c r="N55">
        <v>76</v>
      </c>
      <c r="O55">
        <v>20</v>
      </c>
      <c r="P55">
        <v>14100</v>
      </c>
    </row>
    <row r="56" spans="1:16" x14ac:dyDescent="0.25">
      <c r="A56" t="s">
        <v>51</v>
      </c>
      <c r="B56" t="s">
        <v>22</v>
      </c>
      <c r="C56" t="s">
        <v>43</v>
      </c>
      <c r="D56">
        <v>543</v>
      </c>
      <c r="E56">
        <v>47</v>
      </c>
      <c r="F56">
        <v>5</v>
      </c>
      <c r="G56" t="s">
        <v>33</v>
      </c>
      <c r="H56">
        <v>2021</v>
      </c>
      <c r="I56" t="s">
        <v>52</v>
      </c>
      <c r="J56" t="s">
        <v>25</v>
      </c>
      <c r="K56">
        <v>3115</v>
      </c>
      <c r="L56">
        <v>3.9</v>
      </c>
      <c r="M56">
        <v>21</v>
      </c>
      <c r="N56">
        <v>56</v>
      </c>
      <c r="O56">
        <v>26</v>
      </c>
      <c r="P56">
        <v>25521</v>
      </c>
    </row>
    <row r="57" spans="1:16" x14ac:dyDescent="0.25">
      <c r="A57" t="s">
        <v>26</v>
      </c>
      <c r="B57" t="s">
        <v>22</v>
      </c>
      <c r="C57" t="s">
        <v>18</v>
      </c>
      <c r="D57">
        <v>237</v>
      </c>
      <c r="E57">
        <v>72</v>
      </c>
      <c r="F57">
        <v>48</v>
      </c>
      <c r="G57" t="s">
        <v>19</v>
      </c>
      <c r="H57">
        <v>2023</v>
      </c>
      <c r="I57" t="s">
        <v>34</v>
      </c>
      <c r="J57" t="s">
        <v>21</v>
      </c>
      <c r="K57">
        <v>3572</v>
      </c>
      <c r="L57">
        <v>4.2</v>
      </c>
      <c r="M57">
        <v>20</v>
      </c>
      <c r="N57">
        <v>62</v>
      </c>
      <c r="O57">
        <v>45</v>
      </c>
      <c r="P57">
        <v>17064</v>
      </c>
    </row>
    <row r="58" spans="1:16" x14ac:dyDescent="0.25">
      <c r="A58" t="s">
        <v>26</v>
      </c>
      <c r="B58" t="s">
        <v>47</v>
      </c>
      <c r="C58" t="s">
        <v>40</v>
      </c>
      <c r="D58">
        <v>916</v>
      </c>
      <c r="E58">
        <v>26</v>
      </c>
      <c r="F58">
        <v>56</v>
      </c>
      <c r="G58" t="s">
        <v>19</v>
      </c>
      <c r="H58">
        <v>2021</v>
      </c>
      <c r="I58" t="s">
        <v>34</v>
      </c>
      <c r="J58" t="s">
        <v>21</v>
      </c>
      <c r="K58">
        <v>4397</v>
      </c>
      <c r="L58">
        <v>4.0999999999999996</v>
      </c>
      <c r="M58">
        <v>13</v>
      </c>
      <c r="N58">
        <v>54</v>
      </c>
      <c r="O58">
        <v>26</v>
      </c>
      <c r="P58">
        <v>23816</v>
      </c>
    </row>
    <row r="59" spans="1:16" x14ac:dyDescent="0.25">
      <c r="A59" t="s">
        <v>51</v>
      </c>
      <c r="B59" t="s">
        <v>50</v>
      </c>
      <c r="C59" t="s">
        <v>23</v>
      </c>
      <c r="D59">
        <v>283</v>
      </c>
      <c r="E59">
        <v>76</v>
      </c>
      <c r="F59">
        <v>24</v>
      </c>
      <c r="G59" t="s">
        <v>19</v>
      </c>
      <c r="H59">
        <v>2022</v>
      </c>
      <c r="I59" t="s">
        <v>52</v>
      </c>
      <c r="J59" t="s">
        <v>25</v>
      </c>
      <c r="K59">
        <v>5888</v>
      </c>
      <c r="L59">
        <v>3.8</v>
      </c>
      <c r="M59">
        <v>21</v>
      </c>
      <c r="N59">
        <v>48</v>
      </c>
      <c r="O59">
        <v>27</v>
      </c>
      <c r="P59">
        <v>21508</v>
      </c>
    </row>
    <row r="60" spans="1:16" x14ac:dyDescent="0.25">
      <c r="A60" t="s">
        <v>51</v>
      </c>
      <c r="B60" t="s">
        <v>50</v>
      </c>
      <c r="C60" t="s">
        <v>40</v>
      </c>
      <c r="D60">
        <v>1102</v>
      </c>
      <c r="E60">
        <v>69</v>
      </c>
      <c r="F60">
        <v>60</v>
      </c>
      <c r="G60" t="s">
        <v>24</v>
      </c>
      <c r="H60">
        <v>2022</v>
      </c>
      <c r="I60" t="s">
        <v>52</v>
      </c>
      <c r="J60" t="s">
        <v>21</v>
      </c>
      <c r="K60">
        <v>3519</v>
      </c>
      <c r="L60">
        <v>4.7</v>
      </c>
      <c r="M60">
        <v>20</v>
      </c>
      <c r="N60">
        <v>58</v>
      </c>
      <c r="O60">
        <v>20</v>
      </c>
      <c r="P60">
        <v>76038</v>
      </c>
    </row>
    <row r="61" spans="1:16" x14ac:dyDescent="0.25">
      <c r="A61" t="s">
        <v>46</v>
      </c>
      <c r="B61" t="s">
        <v>50</v>
      </c>
      <c r="C61" t="s">
        <v>43</v>
      </c>
      <c r="D61">
        <v>322</v>
      </c>
      <c r="E61">
        <v>38</v>
      </c>
      <c r="F61">
        <v>60</v>
      </c>
      <c r="G61" t="s">
        <v>24</v>
      </c>
      <c r="H61">
        <v>2021</v>
      </c>
      <c r="I61" t="s">
        <v>41</v>
      </c>
      <c r="J61" t="s">
        <v>25</v>
      </c>
      <c r="K61">
        <v>3300</v>
      </c>
      <c r="L61">
        <v>3.8</v>
      </c>
      <c r="M61">
        <v>12</v>
      </c>
      <c r="N61">
        <v>50</v>
      </c>
      <c r="O61">
        <v>57</v>
      </c>
      <c r="P61">
        <v>12236</v>
      </c>
    </row>
    <row r="62" spans="1:16" x14ac:dyDescent="0.25">
      <c r="A62" t="s">
        <v>26</v>
      </c>
      <c r="B62" t="s">
        <v>22</v>
      </c>
      <c r="C62" t="s">
        <v>23</v>
      </c>
      <c r="D62">
        <v>474</v>
      </c>
      <c r="E62">
        <v>38</v>
      </c>
      <c r="F62">
        <v>34</v>
      </c>
      <c r="G62" t="s">
        <v>24</v>
      </c>
      <c r="H62">
        <v>2020</v>
      </c>
      <c r="I62" t="s">
        <v>29</v>
      </c>
      <c r="J62" t="s">
        <v>21</v>
      </c>
      <c r="K62">
        <v>5953</v>
      </c>
      <c r="L62">
        <v>4.2</v>
      </c>
      <c r="M62">
        <v>26</v>
      </c>
      <c r="N62">
        <v>53</v>
      </c>
      <c r="O62">
        <v>39</v>
      </c>
      <c r="P62">
        <v>18012</v>
      </c>
    </row>
    <row r="63" spans="1:16" x14ac:dyDescent="0.25">
      <c r="A63" t="s">
        <v>26</v>
      </c>
      <c r="B63" t="s">
        <v>17</v>
      </c>
      <c r="C63" t="s">
        <v>40</v>
      </c>
      <c r="D63">
        <v>798</v>
      </c>
      <c r="E63">
        <v>68</v>
      </c>
      <c r="F63">
        <v>41</v>
      </c>
      <c r="G63" t="s">
        <v>24</v>
      </c>
      <c r="H63">
        <v>2024</v>
      </c>
      <c r="I63" t="s">
        <v>20</v>
      </c>
      <c r="J63" t="s">
        <v>25</v>
      </c>
      <c r="K63">
        <v>4340</v>
      </c>
      <c r="L63">
        <v>4.2</v>
      </c>
      <c r="M63">
        <v>5</v>
      </c>
      <c r="N63">
        <v>46</v>
      </c>
      <c r="O63">
        <v>57</v>
      </c>
      <c r="P63">
        <v>54264</v>
      </c>
    </row>
    <row r="64" spans="1:16" x14ac:dyDescent="0.25">
      <c r="A64" t="s">
        <v>38</v>
      </c>
      <c r="B64" t="s">
        <v>47</v>
      </c>
      <c r="C64" t="s">
        <v>28</v>
      </c>
      <c r="D64">
        <v>822</v>
      </c>
      <c r="E64">
        <v>25</v>
      </c>
      <c r="F64">
        <v>17</v>
      </c>
      <c r="G64" t="s">
        <v>33</v>
      </c>
      <c r="H64">
        <v>2022</v>
      </c>
      <c r="I64" t="s">
        <v>41</v>
      </c>
      <c r="J64" t="s">
        <v>25</v>
      </c>
      <c r="K64">
        <v>5978</v>
      </c>
      <c r="L64">
        <v>4.3</v>
      </c>
      <c r="M64">
        <v>8</v>
      </c>
      <c r="N64">
        <v>44</v>
      </c>
      <c r="O64">
        <v>58</v>
      </c>
      <c r="P64">
        <v>20550</v>
      </c>
    </row>
    <row r="65" spans="1:16" x14ac:dyDescent="0.25">
      <c r="A65" t="s">
        <v>26</v>
      </c>
      <c r="B65" t="s">
        <v>50</v>
      </c>
      <c r="C65" t="s">
        <v>43</v>
      </c>
      <c r="D65">
        <v>311</v>
      </c>
      <c r="E65">
        <v>27</v>
      </c>
      <c r="F65">
        <v>37</v>
      </c>
      <c r="G65" t="s">
        <v>24</v>
      </c>
      <c r="H65">
        <v>2024</v>
      </c>
      <c r="I65" t="s">
        <v>29</v>
      </c>
      <c r="J65" t="s">
        <v>25</v>
      </c>
      <c r="K65">
        <v>3347</v>
      </c>
      <c r="L65">
        <v>3.8</v>
      </c>
      <c r="M65">
        <v>28</v>
      </c>
      <c r="N65">
        <v>58</v>
      </c>
      <c r="O65">
        <v>34</v>
      </c>
      <c r="P65">
        <v>8397</v>
      </c>
    </row>
    <row r="66" spans="1:16" x14ac:dyDescent="0.25">
      <c r="A66" t="s">
        <v>45</v>
      </c>
      <c r="B66" t="s">
        <v>17</v>
      </c>
      <c r="C66" t="s">
        <v>23</v>
      </c>
      <c r="D66">
        <v>913</v>
      </c>
      <c r="E66">
        <v>69</v>
      </c>
      <c r="F66">
        <v>27</v>
      </c>
      <c r="G66" t="s">
        <v>24</v>
      </c>
      <c r="H66">
        <v>2024</v>
      </c>
      <c r="I66" t="s">
        <v>52</v>
      </c>
      <c r="J66" t="s">
        <v>25</v>
      </c>
      <c r="K66">
        <v>5690</v>
      </c>
      <c r="L66">
        <v>4.9000000000000004</v>
      </c>
      <c r="M66">
        <v>15</v>
      </c>
      <c r="N66">
        <v>52</v>
      </c>
      <c r="O66">
        <v>49</v>
      </c>
      <c r="P66">
        <v>62997</v>
      </c>
    </row>
    <row r="67" spans="1:16" x14ac:dyDescent="0.25">
      <c r="A67" t="s">
        <v>38</v>
      </c>
      <c r="B67" t="s">
        <v>50</v>
      </c>
      <c r="C67" t="s">
        <v>28</v>
      </c>
      <c r="D67">
        <v>385</v>
      </c>
      <c r="E67">
        <v>60</v>
      </c>
      <c r="F67">
        <v>25</v>
      </c>
      <c r="G67" t="s">
        <v>19</v>
      </c>
      <c r="H67">
        <v>2022</v>
      </c>
      <c r="I67" t="s">
        <v>34</v>
      </c>
      <c r="J67" t="s">
        <v>25</v>
      </c>
      <c r="K67">
        <v>3280</v>
      </c>
      <c r="L67">
        <v>4.3</v>
      </c>
      <c r="M67">
        <v>12</v>
      </c>
      <c r="N67">
        <v>80</v>
      </c>
      <c r="O67">
        <v>59</v>
      </c>
      <c r="P67">
        <v>23100</v>
      </c>
    </row>
    <row r="68" spans="1:16" x14ac:dyDescent="0.25">
      <c r="A68" t="s">
        <v>30</v>
      </c>
      <c r="B68" t="s">
        <v>36</v>
      </c>
      <c r="C68" t="s">
        <v>18</v>
      </c>
      <c r="D68">
        <v>1124</v>
      </c>
      <c r="E68">
        <v>22</v>
      </c>
      <c r="F68">
        <v>30</v>
      </c>
      <c r="G68" t="s">
        <v>33</v>
      </c>
      <c r="H68">
        <v>2023</v>
      </c>
      <c r="I68" t="s">
        <v>37</v>
      </c>
      <c r="J68" t="s">
        <v>21</v>
      </c>
      <c r="K68">
        <v>5716</v>
      </c>
      <c r="L68">
        <v>4.8</v>
      </c>
      <c r="M68">
        <v>13</v>
      </c>
      <c r="N68">
        <v>43</v>
      </c>
      <c r="O68">
        <v>54</v>
      </c>
      <c r="P68">
        <v>24728</v>
      </c>
    </row>
    <row r="69" spans="1:16" x14ac:dyDescent="0.25">
      <c r="A69" t="s">
        <v>59</v>
      </c>
      <c r="B69" t="s">
        <v>17</v>
      </c>
      <c r="C69" t="s">
        <v>28</v>
      </c>
      <c r="D69">
        <v>862</v>
      </c>
      <c r="E69">
        <v>16</v>
      </c>
      <c r="F69">
        <v>45</v>
      </c>
      <c r="G69" t="s">
        <v>33</v>
      </c>
      <c r="H69">
        <v>2020</v>
      </c>
      <c r="I69" t="s">
        <v>29</v>
      </c>
      <c r="J69" t="s">
        <v>25</v>
      </c>
      <c r="K69">
        <v>3972</v>
      </c>
      <c r="L69">
        <v>4.4000000000000004</v>
      </c>
      <c r="M69">
        <v>28</v>
      </c>
      <c r="N69">
        <v>67</v>
      </c>
      <c r="O69">
        <v>29</v>
      </c>
      <c r="P69">
        <v>13792</v>
      </c>
    </row>
    <row r="70" spans="1:16" x14ac:dyDescent="0.25">
      <c r="A70" t="s">
        <v>26</v>
      </c>
      <c r="B70" t="s">
        <v>47</v>
      </c>
      <c r="C70" t="s">
        <v>40</v>
      </c>
      <c r="D70">
        <v>1016</v>
      </c>
      <c r="E70">
        <v>42</v>
      </c>
      <c r="F70">
        <v>13</v>
      </c>
      <c r="G70" t="s">
        <v>24</v>
      </c>
      <c r="H70">
        <v>2025</v>
      </c>
      <c r="I70" t="s">
        <v>41</v>
      </c>
      <c r="J70" t="s">
        <v>21</v>
      </c>
      <c r="K70">
        <v>4423</v>
      </c>
      <c r="L70">
        <v>3.6</v>
      </c>
      <c r="M70">
        <v>20</v>
      </c>
      <c r="N70">
        <v>58</v>
      </c>
      <c r="O70">
        <v>41</v>
      </c>
      <c r="P70">
        <v>42672</v>
      </c>
    </row>
    <row r="71" spans="1:16" x14ac:dyDescent="0.25">
      <c r="A71" t="s">
        <v>53</v>
      </c>
      <c r="B71" t="s">
        <v>39</v>
      </c>
      <c r="C71" t="s">
        <v>28</v>
      </c>
      <c r="D71">
        <v>692</v>
      </c>
      <c r="E71">
        <v>8</v>
      </c>
      <c r="F71">
        <v>59</v>
      </c>
      <c r="G71" t="s">
        <v>19</v>
      </c>
      <c r="H71">
        <v>2020</v>
      </c>
      <c r="I71" t="s">
        <v>52</v>
      </c>
      <c r="J71" t="s">
        <v>25</v>
      </c>
      <c r="K71">
        <v>3094</v>
      </c>
      <c r="L71">
        <v>4.4000000000000004</v>
      </c>
      <c r="M71">
        <v>20</v>
      </c>
      <c r="N71">
        <v>79</v>
      </c>
      <c r="O71">
        <v>45</v>
      </c>
      <c r="P71">
        <v>5536</v>
      </c>
    </row>
    <row r="72" spans="1:16" x14ac:dyDescent="0.25">
      <c r="A72" t="s">
        <v>53</v>
      </c>
      <c r="B72" t="s">
        <v>22</v>
      </c>
      <c r="C72" t="s">
        <v>40</v>
      </c>
      <c r="D72">
        <v>1090</v>
      </c>
      <c r="E72">
        <v>69</v>
      </c>
      <c r="F72">
        <v>22</v>
      </c>
      <c r="G72" t="s">
        <v>19</v>
      </c>
      <c r="H72">
        <v>2025</v>
      </c>
      <c r="I72" t="s">
        <v>52</v>
      </c>
      <c r="J72" t="s">
        <v>25</v>
      </c>
      <c r="K72">
        <v>5929</v>
      </c>
      <c r="L72">
        <v>3.5</v>
      </c>
      <c r="M72">
        <v>14</v>
      </c>
      <c r="N72">
        <v>52</v>
      </c>
      <c r="O72">
        <v>56</v>
      </c>
      <c r="P72">
        <v>75210</v>
      </c>
    </row>
    <row r="73" spans="1:16" x14ac:dyDescent="0.25">
      <c r="A73" t="s">
        <v>48</v>
      </c>
      <c r="B73" t="s">
        <v>36</v>
      </c>
      <c r="C73" t="s">
        <v>40</v>
      </c>
      <c r="D73">
        <v>322</v>
      </c>
      <c r="E73">
        <v>41</v>
      </c>
      <c r="F73">
        <v>14</v>
      </c>
      <c r="G73" t="s">
        <v>33</v>
      </c>
      <c r="H73">
        <v>2022</v>
      </c>
      <c r="I73" t="s">
        <v>20</v>
      </c>
      <c r="J73" t="s">
        <v>21</v>
      </c>
      <c r="K73">
        <v>3244</v>
      </c>
      <c r="L73">
        <v>3.6</v>
      </c>
      <c r="M73">
        <v>12</v>
      </c>
      <c r="N73">
        <v>65</v>
      </c>
      <c r="O73">
        <v>56</v>
      </c>
      <c r="P73">
        <v>13202</v>
      </c>
    </row>
    <row r="74" spans="1:16" x14ac:dyDescent="0.25">
      <c r="A74" t="s">
        <v>38</v>
      </c>
      <c r="B74" t="s">
        <v>39</v>
      </c>
      <c r="C74" t="s">
        <v>43</v>
      </c>
      <c r="D74">
        <v>918</v>
      </c>
      <c r="E74">
        <v>62</v>
      </c>
      <c r="F74">
        <v>28</v>
      </c>
      <c r="G74" t="s">
        <v>24</v>
      </c>
      <c r="H74">
        <v>2025</v>
      </c>
      <c r="I74" t="s">
        <v>52</v>
      </c>
      <c r="J74" t="s">
        <v>21</v>
      </c>
      <c r="K74">
        <v>4838</v>
      </c>
      <c r="L74">
        <v>5</v>
      </c>
      <c r="M74">
        <v>24</v>
      </c>
      <c r="N74">
        <v>52</v>
      </c>
      <c r="O74">
        <v>36</v>
      </c>
      <c r="P74">
        <v>56916</v>
      </c>
    </row>
    <row r="75" spans="1:16" x14ac:dyDescent="0.25">
      <c r="A75" t="s">
        <v>42</v>
      </c>
      <c r="B75" t="s">
        <v>58</v>
      </c>
      <c r="C75" t="s">
        <v>40</v>
      </c>
      <c r="D75">
        <v>1052</v>
      </c>
      <c r="E75">
        <v>30</v>
      </c>
      <c r="F75">
        <v>41</v>
      </c>
      <c r="G75" t="s">
        <v>19</v>
      </c>
      <c r="H75">
        <v>2020</v>
      </c>
      <c r="I75" t="s">
        <v>52</v>
      </c>
      <c r="J75" t="s">
        <v>21</v>
      </c>
      <c r="K75">
        <v>5457</v>
      </c>
      <c r="L75">
        <v>4.8</v>
      </c>
      <c r="M75">
        <v>18</v>
      </c>
      <c r="N75">
        <v>60</v>
      </c>
      <c r="O75">
        <v>44</v>
      </c>
      <c r="P75">
        <v>31560</v>
      </c>
    </row>
    <row r="76" spans="1:16" x14ac:dyDescent="0.25">
      <c r="A76" t="s">
        <v>44</v>
      </c>
      <c r="B76" t="s">
        <v>56</v>
      </c>
      <c r="C76" t="s">
        <v>43</v>
      </c>
      <c r="D76">
        <v>1194</v>
      </c>
      <c r="E76">
        <v>75</v>
      </c>
      <c r="F76">
        <v>46</v>
      </c>
      <c r="G76" t="s">
        <v>19</v>
      </c>
      <c r="H76">
        <v>2021</v>
      </c>
      <c r="I76" t="s">
        <v>20</v>
      </c>
      <c r="J76" t="s">
        <v>21</v>
      </c>
      <c r="K76">
        <v>4639</v>
      </c>
      <c r="L76">
        <v>3.9</v>
      </c>
      <c r="M76">
        <v>11</v>
      </c>
      <c r="N76">
        <v>55</v>
      </c>
      <c r="O76">
        <v>38</v>
      </c>
      <c r="P76">
        <v>89550</v>
      </c>
    </row>
    <row r="77" spans="1:16" x14ac:dyDescent="0.25">
      <c r="A77" t="s">
        <v>38</v>
      </c>
      <c r="B77" t="s">
        <v>47</v>
      </c>
      <c r="C77" t="s">
        <v>28</v>
      </c>
      <c r="D77">
        <v>782</v>
      </c>
      <c r="E77">
        <v>9</v>
      </c>
      <c r="F77">
        <v>16</v>
      </c>
      <c r="G77" t="s">
        <v>33</v>
      </c>
      <c r="H77">
        <v>2025</v>
      </c>
      <c r="I77" t="s">
        <v>20</v>
      </c>
      <c r="J77" t="s">
        <v>25</v>
      </c>
      <c r="K77">
        <v>5015</v>
      </c>
      <c r="L77">
        <v>4.2</v>
      </c>
      <c r="M77">
        <v>23</v>
      </c>
      <c r="N77">
        <v>67</v>
      </c>
      <c r="O77">
        <v>44</v>
      </c>
      <c r="P77">
        <v>7038</v>
      </c>
    </row>
    <row r="78" spans="1:16" x14ac:dyDescent="0.25">
      <c r="A78" t="s">
        <v>49</v>
      </c>
      <c r="B78" t="s">
        <v>56</v>
      </c>
      <c r="C78" t="s">
        <v>28</v>
      </c>
      <c r="D78">
        <v>986</v>
      </c>
      <c r="E78">
        <v>80</v>
      </c>
      <c r="F78">
        <v>16</v>
      </c>
      <c r="G78" t="s">
        <v>19</v>
      </c>
      <c r="H78">
        <v>2024</v>
      </c>
      <c r="I78" t="s">
        <v>34</v>
      </c>
      <c r="J78" t="s">
        <v>25</v>
      </c>
      <c r="K78">
        <v>4770</v>
      </c>
      <c r="L78">
        <v>3.5</v>
      </c>
      <c r="M78">
        <v>15</v>
      </c>
      <c r="N78">
        <v>70</v>
      </c>
      <c r="O78">
        <v>50</v>
      </c>
      <c r="P78">
        <v>78880</v>
      </c>
    </row>
    <row r="79" spans="1:16" x14ac:dyDescent="0.25">
      <c r="A79" t="s">
        <v>59</v>
      </c>
      <c r="B79" t="s">
        <v>36</v>
      </c>
      <c r="C79" t="s">
        <v>23</v>
      </c>
      <c r="D79">
        <v>742</v>
      </c>
      <c r="E79">
        <v>62</v>
      </c>
      <c r="F79">
        <v>51</v>
      </c>
      <c r="G79" t="s">
        <v>19</v>
      </c>
      <c r="H79">
        <v>2023</v>
      </c>
      <c r="I79" t="s">
        <v>29</v>
      </c>
      <c r="J79" t="s">
        <v>21</v>
      </c>
      <c r="K79">
        <v>4684</v>
      </c>
      <c r="L79">
        <v>3.7</v>
      </c>
      <c r="M79">
        <v>12</v>
      </c>
      <c r="N79">
        <v>72</v>
      </c>
      <c r="O79">
        <v>45</v>
      </c>
      <c r="P79">
        <v>46004</v>
      </c>
    </row>
    <row r="80" spans="1:16" x14ac:dyDescent="0.25">
      <c r="A80" t="s">
        <v>55</v>
      </c>
      <c r="B80" t="s">
        <v>50</v>
      </c>
      <c r="C80" t="s">
        <v>18</v>
      </c>
      <c r="D80">
        <v>449</v>
      </c>
      <c r="E80">
        <v>55</v>
      </c>
      <c r="F80">
        <v>56</v>
      </c>
      <c r="G80" t="s">
        <v>19</v>
      </c>
      <c r="H80">
        <v>2021</v>
      </c>
      <c r="I80" t="s">
        <v>37</v>
      </c>
      <c r="J80" t="s">
        <v>25</v>
      </c>
      <c r="K80">
        <v>5579</v>
      </c>
      <c r="L80">
        <v>4.8</v>
      </c>
      <c r="M80">
        <v>14</v>
      </c>
      <c r="N80">
        <v>73</v>
      </c>
      <c r="O80">
        <v>55</v>
      </c>
      <c r="P80">
        <v>24695</v>
      </c>
    </row>
    <row r="81" spans="1:16" x14ac:dyDescent="0.25">
      <c r="A81" t="s">
        <v>45</v>
      </c>
      <c r="B81" t="s">
        <v>39</v>
      </c>
      <c r="C81" t="s">
        <v>18</v>
      </c>
      <c r="D81">
        <v>885</v>
      </c>
      <c r="E81">
        <v>34</v>
      </c>
      <c r="F81">
        <v>20</v>
      </c>
      <c r="G81" t="s">
        <v>19</v>
      </c>
      <c r="H81">
        <v>2020</v>
      </c>
      <c r="I81" t="s">
        <v>29</v>
      </c>
      <c r="J81" t="s">
        <v>21</v>
      </c>
      <c r="K81">
        <v>4647</v>
      </c>
      <c r="L81">
        <v>4.3</v>
      </c>
      <c r="M81">
        <v>26</v>
      </c>
      <c r="N81">
        <v>41</v>
      </c>
      <c r="O81">
        <v>22</v>
      </c>
      <c r="P81">
        <v>30090</v>
      </c>
    </row>
    <row r="82" spans="1:16" x14ac:dyDescent="0.25">
      <c r="A82" t="s">
        <v>42</v>
      </c>
      <c r="B82" t="s">
        <v>56</v>
      </c>
      <c r="C82" t="s">
        <v>18</v>
      </c>
      <c r="D82">
        <v>830</v>
      </c>
      <c r="E82">
        <v>34</v>
      </c>
      <c r="F82">
        <v>20</v>
      </c>
      <c r="G82" t="s">
        <v>24</v>
      </c>
      <c r="H82">
        <v>2020</v>
      </c>
      <c r="I82" t="s">
        <v>52</v>
      </c>
      <c r="J82" t="s">
        <v>21</v>
      </c>
      <c r="K82">
        <v>4702</v>
      </c>
      <c r="L82">
        <v>3.8</v>
      </c>
      <c r="M82">
        <v>9</v>
      </c>
      <c r="N82">
        <v>67</v>
      </c>
      <c r="O82">
        <v>54</v>
      </c>
      <c r="P82">
        <v>28220</v>
      </c>
    </row>
    <row r="83" spans="1:16" x14ac:dyDescent="0.25">
      <c r="A83" t="s">
        <v>51</v>
      </c>
      <c r="B83" t="s">
        <v>58</v>
      </c>
      <c r="C83" t="s">
        <v>18</v>
      </c>
      <c r="D83">
        <v>468</v>
      </c>
      <c r="E83">
        <v>35</v>
      </c>
      <c r="F83">
        <v>60</v>
      </c>
      <c r="G83" t="s">
        <v>33</v>
      </c>
      <c r="H83">
        <v>2021</v>
      </c>
      <c r="I83" t="s">
        <v>29</v>
      </c>
      <c r="J83" t="s">
        <v>21</v>
      </c>
      <c r="K83">
        <v>5057</v>
      </c>
      <c r="L83">
        <v>4</v>
      </c>
      <c r="M83">
        <v>7</v>
      </c>
      <c r="N83">
        <v>67</v>
      </c>
      <c r="O83">
        <v>42</v>
      </c>
      <c r="P83">
        <v>16380</v>
      </c>
    </row>
    <row r="84" spans="1:16" x14ac:dyDescent="0.25">
      <c r="A84" t="s">
        <v>55</v>
      </c>
      <c r="B84" t="s">
        <v>50</v>
      </c>
      <c r="C84" t="s">
        <v>18</v>
      </c>
      <c r="D84">
        <v>1190</v>
      </c>
      <c r="E84">
        <v>33</v>
      </c>
      <c r="F84">
        <v>56</v>
      </c>
      <c r="G84" t="s">
        <v>24</v>
      </c>
      <c r="H84">
        <v>2024</v>
      </c>
      <c r="I84" t="s">
        <v>34</v>
      </c>
      <c r="J84" t="s">
        <v>25</v>
      </c>
      <c r="K84">
        <v>3446</v>
      </c>
      <c r="L84">
        <v>5</v>
      </c>
      <c r="M84">
        <v>7</v>
      </c>
      <c r="N84">
        <v>75</v>
      </c>
      <c r="O84">
        <v>45</v>
      </c>
      <c r="P84">
        <v>39270</v>
      </c>
    </row>
    <row r="85" spans="1:16" x14ac:dyDescent="0.25">
      <c r="A85" t="s">
        <v>44</v>
      </c>
      <c r="B85" t="s">
        <v>27</v>
      </c>
      <c r="C85" t="s">
        <v>43</v>
      </c>
      <c r="D85">
        <v>705</v>
      </c>
      <c r="E85">
        <v>45</v>
      </c>
      <c r="F85">
        <v>10</v>
      </c>
      <c r="G85" t="s">
        <v>19</v>
      </c>
      <c r="H85">
        <v>2021</v>
      </c>
      <c r="I85" t="s">
        <v>29</v>
      </c>
      <c r="J85" t="s">
        <v>21</v>
      </c>
      <c r="K85">
        <v>4200</v>
      </c>
      <c r="L85">
        <v>4.3</v>
      </c>
      <c r="M85">
        <v>18</v>
      </c>
      <c r="N85">
        <v>63</v>
      </c>
      <c r="O85">
        <v>34</v>
      </c>
      <c r="P85">
        <v>31725</v>
      </c>
    </row>
    <row r="86" spans="1:16" x14ac:dyDescent="0.25">
      <c r="A86" t="s">
        <v>54</v>
      </c>
      <c r="B86" t="s">
        <v>56</v>
      </c>
      <c r="C86" t="s">
        <v>28</v>
      </c>
      <c r="D86">
        <v>224</v>
      </c>
      <c r="E86">
        <v>5</v>
      </c>
      <c r="F86">
        <v>59</v>
      </c>
      <c r="G86" t="s">
        <v>33</v>
      </c>
      <c r="H86">
        <v>2021</v>
      </c>
      <c r="I86" t="s">
        <v>29</v>
      </c>
      <c r="J86" t="s">
        <v>25</v>
      </c>
      <c r="K86">
        <v>3724</v>
      </c>
      <c r="L86">
        <v>3.8</v>
      </c>
      <c r="M86">
        <v>7</v>
      </c>
      <c r="N86">
        <v>67</v>
      </c>
      <c r="O86">
        <v>58</v>
      </c>
      <c r="P86">
        <v>1120</v>
      </c>
    </row>
    <row r="87" spans="1:16" x14ac:dyDescent="0.25">
      <c r="A87" t="s">
        <v>42</v>
      </c>
      <c r="B87" t="s">
        <v>56</v>
      </c>
      <c r="C87" t="s">
        <v>43</v>
      </c>
      <c r="D87">
        <v>968</v>
      </c>
      <c r="E87">
        <v>24</v>
      </c>
      <c r="F87">
        <v>48</v>
      </c>
      <c r="G87" t="s">
        <v>19</v>
      </c>
      <c r="H87">
        <v>2022</v>
      </c>
      <c r="I87" t="s">
        <v>37</v>
      </c>
      <c r="J87" t="s">
        <v>25</v>
      </c>
      <c r="K87">
        <v>3245</v>
      </c>
      <c r="L87">
        <v>3.8</v>
      </c>
      <c r="M87">
        <v>28</v>
      </c>
      <c r="N87">
        <v>53</v>
      </c>
      <c r="O87">
        <v>44</v>
      </c>
      <c r="P87">
        <v>23232</v>
      </c>
    </row>
    <row r="88" spans="1:16" x14ac:dyDescent="0.25">
      <c r="A88" t="s">
        <v>45</v>
      </c>
      <c r="B88" t="s">
        <v>50</v>
      </c>
      <c r="C88" t="s">
        <v>23</v>
      </c>
      <c r="D88">
        <v>278</v>
      </c>
      <c r="E88">
        <v>35</v>
      </c>
      <c r="F88">
        <v>49</v>
      </c>
      <c r="G88" t="s">
        <v>33</v>
      </c>
      <c r="H88">
        <v>2022</v>
      </c>
      <c r="I88" t="s">
        <v>37</v>
      </c>
      <c r="J88" t="s">
        <v>21</v>
      </c>
      <c r="K88">
        <v>3419</v>
      </c>
      <c r="L88">
        <v>4.2</v>
      </c>
      <c r="M88">
        <v>17</v>
      </c>
      <c r="N88">
        <v>79</v>
      </c>
      <c r="O88">
        <v>22</v>
      </c>
      <c r="P88">
        <v>9730</v>
      </c>
    </row>
    <row r="89" spans="1:16" x14ac:dyDescent="0.25">
      <c r="A89" t="s">
        <v>16</v>
      </c>
      <c r="B89" t="s">
        <v>27</v>
      </c>
      <c r="C89" t="s">
        <v>28</v>
      </c>
      <c r="D89">
        <v>1139</v>
      </c>
      <c r="E89">
        <v>13</v>
      </c>
      <c r="F89">
        <v>43</v>
      </c>
      <c r="G89" t="s">
        <v>24</v>
      </c>
      <c r="H89">
        <v>2020</v>
      </c>
      <c r="I89" t="s">
        <v>41</v>
      </c>
      <c r="J89" t="s">
        <v>25</v>
      </c>
      <c r="K89">
        <v>5312</v>
      </c>
      <c r="L89">
        <v>4.5</v>
      </c>
      <c r="M89">
        <v>6</v>
      </c>
      <c r="N89">
        <v>52</v>
      </c>
      <c r="O89">
        <v>30</v>
      </c>
      <c r="P89">
        <v>14807</v>
      </c>
    </row>
    <row r="90" spans="1:16" x14ac:dyDescent="0.25">
      <c r="A90" t="s">
        <v>55</v>
      </c>
      <c r="B90" t="s">
        <v>22</v>
      </c>
      <c r="C90" t="s">
        <v>18</v>
      </c>
      <c r="D90">
        <v>611</v>
      </c>
      <c r="E90">
        <v>64</v>
      </c>
      <c r="F90">
        <v>28</v>
      </c>
      <c r="G90" t="s">
        <v>24</v>
      </c>
      <c r="H90">
        <v>2024</v>
      </c>
      <c r="I90" t="s">
        <v>29</v>
      </c>
      <c r="J90" t="s">
        <v>21</v>
      </c>
      <c r="K90">
        <v>5415</v>
      </c>
      <c r="L90">
        <v>3.6</v>
      </c>
      <c r="M90">
        <v>5</v>
      </c>
      <c r="N90">
        <v>45</v>
      </c>
      <c r="O90">
        <v>56</v>
      </c>
      <c r="P90">
        <v>39104</v>
      </c>
    </row>
    <row r="91" spans="1:16" x14ac:dyDescent="0.25">
      <c r="A91" t="s">
        <v>16</v>
      </c>
      <c r="B91" t="s">
        <v>56</v>
      </c>
      <c r="C91" t="s">
        <v>40</v>
      </c>
      <c r="D91">
        <v>618</v>
      </c>
      <c r="E91">
        <v>62</v>
      </c>
      <c r="F91">
        <v>47</v>
      </c>
      <c r="G91" t="s">
        <v>33</v>
      </c>
      <c r="H91">
        <v>2020</v>
      </c>
      <c r="I91" t="s">
        <v>37</v>
      </c>
      <c r="J91" t="s">
        <v>21</v>
      </c>
      <c r="K91">
        <v>3689</v>
      </c>
      <c r="L91">
        <v>4.4000000000000004</v>
      </c>
      <c r="M91">
        <v>24</v>
      </c>
      <c r="N91">
        <v>55</v>
      </c>
      <c r="O91">
        <v>48</v>
      </c>
      <c r="P91">
        <v>38316</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2513-8BA6-4AF3-924E-5FCAD7C4F857}">
  <dimension ref="A1:R120"/>
  <sheetViews>
    <sheetView topLeftCell="A9" zoomScale="48" workbookViewId="0">
      <selection activeCell="U59" sqref="U59"/>
    </sheetView>
  </sheetViews>
  <sheetFormatPr defaultRowHeight="15" x14ac:dyDescent="0.25"/>
  <cols>
    <col min="1" max="1" width="13.140625" bestFit="1" customWidth="1"/>
    <col min="2" max="2" width="20.42578125" bestFit="1" customWidth="1"/>
    <col min="10" max="10" width="13.140625" bestFit="1" customWidth="1"/>
    <col min="11" max="11" width="22.42578125" bestFit="1" customWidth="1"/>
    <col min="12" max="12" width="22.7109375" bestFit="1" customWidth="1"/>
    <col min="13" max="13" width="23.85546875" bestFit="1" customWidth="1"/>
    <col min="16" max="16" width="20" bestFit="1" customWidth="1"/>
    <col min="17" max="17" width="28.28515625" bestFit="1" customWidth="1"/>
    <col min="18" max="18" width="31.5703125" bestFit="1" customWidth="1"/>
  </cols>
  <sheetData>
    <row r="1" spans="1:12" ht="15.75" x14ac:dyDescent="0.25">
      <c r="A1" s="3" t="s">
        <v>75</v>
      </c>
      <c r="J1" s="3" t="s">
        <v>67</v>
      </c>
    </row>
    <row r="3" spans="1:12" x14ac:dyDescent="0.25">
      <c r="A3" s="1" t="s">
        <v>60</v>
      </c>
      <c r="B3" t="s">
        <v>62</v>
      </c>
      <c r="J3" s="1" t="s">
        <v>60</v>
      </c>
      <c r="K3" t="s">
        <v>62</v>
      </c>
    </row>
    <row r="4" spans="1:12" x14ac:dyDescent="0.25">
      <c r="A4" s="2" t="s">
        <v>58</v>
      </c>
      <c r="B4">
        <v>192098</v>
      </c>
      <c r="J4" s="2" t="s">
        <v>24</v>
      </c>
      <c r="K4" s="9">
        <v>0.38837808995916878</v>
      </c>
    </row>
    <row r="5" spans="1:12" x14ac:dyDescent="0.25">
      <c r="A5" s="2" t="s">
        <v>22</v>
      </c>
      <c r="B5">
        <v>377212</v>
      </c>
      <c r="J5" s="2" t="s">
        <v>19</v>
      </c>
      <c r="K5" s="9">
        <v>0.38382860042905925</v>
      </c>
    </row>
    <row r="6" spans="1:12" x14ac:dyDescent="0.25">
      <c r="A6" s="2" t="s">
        <v>32</v>
      </c>
      <c r="B6">
        <v>179210</v>
      </c>
      <c r="J6" s="2" t="s">
        <v>33</v>
      </c>
      <c r="K6" s="9">
        <v>0.22779330961177194</v>
      </c>
    </row>
    <row r="7" spans="1:12" x14ac:dyDescent="0.25">
      <c r="A7" s="2" t="s">
        <v>50</v>
      </c>
      <c r="B7">
        <v>233044</v>
      </c>
      <c r="J7" s="2" t="s">
        <v>61</v>
      </c>
      <c r="K7" s="9">
        <v>1</v>
      </c>
    </row>
    <row r="8" spans="1:12" x14ac:dyDescent="0.25">
      <c r="A8" s="2" t="s">
        <v>39</v>
      </c>
      <c r="B8">
        <v>200325</v>
      </c>
    </row>
    <row r="9" spans="1:12" x14ac:dyDescent="0.25">
      <c r="A9" s="2" t="s">
        <v>47</v>
      </c>
      <c r="B9">
        <v>225743</v>
      </c>
    </row>
    <row r="10" spans="1:12" x14ac:dyDescent="0.25">
      <c r="A10" s="2" t="s">
        <v>36</v>
      </c>
      <c r="B10">
        <v>386375</v>
      </c>
    </row>
    <row r="11" spans="1:12" x14ac:dyDescent="0.25">
      <c r="A11" s="2" t="s">
        <v>27</v>
      </c>
      <c r="B11">
        <v>224078</v>
      </c>
    </row>
    <row r="12" spans="1:12" ht="15.75" x14ac:dyDescent="0.25">
      <c r="A12" s="2" t="s">
        <v>17</v>
      </c>
      <c r="B12">
        <v>360408</v>
      </c>
      <c r="J12" s="3" t="s">
        <v>76</v>
      </c>
    </row>
    <row r="13" spans="1:12" x14ac:dyDescent="0.25">
      <c r="A13" s="2" t="s">
        <v>56</v>
      </c>
      <c r="B13">
        <v>441164</v>
      </c>
    </row>
    <row r="14" spans="1:12" x14ac:dyDescent="0.25">
      <c r="A14" s="2" t="s">
        <v>61</v>
      </c>
      <c r="B14">
        <v>2819657</v>
      </c>
      <c r="J14" s="1" t="s">
        <v>60</v>
      </c>
      <c r="K14" t="s">
        <v>64</v>
      </c>
      <c r="L14" t="s">
        <v>65</v>
      </c>
    </row>
    <row r="15" spans="1:12" x14ac:dyDescent="0.25">
      <c r="J15" s="2" t="s">
        <v>58</v>
      </c>
      <c r="K15">
        <v>348</v>
      </c>
      <c r="L15">
        <v>266</v>
      </c>
    </row>
    <row r="16" spans="1:12" ht="15.75" x14ac:dyDescent="0.25">
      <c r="A16" s="3" t="s">
        <v>74</v>
      </c>
      <c r="J16" s="2" t="s">
        <v>22</v>
      </c>
      <c r="K16">
        <v>747</v>
      </c>
      <c r="L16">
        <v>539</v>
      </c>
    </row>
    <row r="17" spans="1:17" x14ac:dyDescent="0.25">
      <c r="A17" s="1" t="s">
        <v>60</v>
      </c>
      <c r="B17" t="s">
        <v>63</v>
      </c>
      <c r="J17" s="2" t="s">
        <v>32</v>
      </c>
      <c r="K17">
        <v>421</v>
      </c>
      <c r="L17">
        <v>303</v>
      </c>
    </row>
    <row r="18" spans="1:17" x14ac:dyDescent="0.25">
      <c r="A18" s="2" t="s">
        <v>49</v>
      </c>
      <c r="B18">
        <v>172</v>
      </c>
      <c r="J18" s="2" t="s">
        <v>50</v>
      </c>
      <c r="K18">
        <v>633</v>
      </c>
      <c r="L18">
        <v>410</v>
      </c>
    </row>
    <row r="19" spans="1:17" x14ac:dyDescent="0.25">
      <c r="A19" s="2" t="s">
        <v>48</v>
      </c>
      <c r="B19">
        <v>242</v>
      </c>
      <c r="J19" s="2" t="s">
        <v>39</v>
      </c>
      <c r="K19">
        <v>409</v>
      </c>
      <c r="L19">
        <v>258</v>
      </c>
    </row>
    <row r="20" spans="1:17" x14ac:dyDescent="0.25">
      <c r="A20" s="2" t="s">
        <v>55</v>
      </c>
      <c r="B20">
        <v>311</v>
      </c>
      <c r="J20" s="2" t="s">
        <v>47</v>
      </c>
      <c r="K20">
        <v>462</v>
      </c>
      <c r="L20">
        <v>333</v>
      </c>
    </row>
    <row r="21" spans="1:17" x14ac:dyDescent="0.25">
      <c r="A21" s="2" t="s">
        <v>42</v>
      </c>
      <c r="B21">
        <v>200</v>
      </c>
      <c r="J21" s="2" t="s">
        <v>36</v>
      </c>
      <c r="K21">
        <v>683</v>
      </c>
      <c r="L21">
        <v>483</v>
      </c>
    </row>
    <row r="22" spans="1:17" x14ac:dyDescent="0.25">
      <c r="A22" s="2" t="s">
        <v>16</v>
      </c>
      <c r="B22">
        <v>296</v>
      </c>
      <c r="J22" s="2" t="s">
        <v>27</v>
      </c>
      <c r="K22">
        <v>503</v>
      </c>
      <c r="L22">
        <v>361</v>
      </c>
    </row>
    <row r="23" spans="1:17" x14ac:dyDescent="0.25">
      <c r="A23" s="2" t="s">
        <v>54</v>
      </c>
      <c r="B23">
        <v>79</v>
      </c>
      <c r="J23" s="2" t="s">
        <v>17</v>
      </c>
      <c r="K23">
        <v>570</v>
      </c>
      <c r="L23">
        <v>408</v>
      </c>
    </row>
    <row r="24" spans="1:17" x14ac:dyDescent="0.25">
      <c r="A24" s="2" t="s">
        <v>35</v>
      </c>
      <c r="B24">
        <v>66</v>
      </c>
      <c r="J24" s="2" t="s">
        <v>56</v>
      </c>
      <c r="K24">
        <v>618</v>
      </c>
      <c r="L24">
        <v>471</v>
      </c>
    </row>
    <row r="25" spans="1:17" x14ac:dyDescent="0.25">
      <c r="A25" s="2" t="s">
        <v>46</v>
      </c>
      <c r="B25">
        <v>157</v>
      </c>
      <c r="J25" s="2" t="s">
        <v>61</v>
      </c>
      <c r="K25">
        <v>5394</v>
      </c>
      <c r="L25">
        <v>3832</v>
      </c>
    </row>
    <row r="26" spans="1:17" x14ac:dyDescent="0.25">
      <c r="A26" s="2" t="s">
        <v>44</v>
      </c>
      <c r="B26">
        <v>339</v>
      </c>
    </row>
    <row r="27" spans="1:17" x14ac:dyDescent="0.25">
      <c r="A27" s="2" t="s">
        <v>45</v>
      </c>
      <c r="B27">
        <v>251</v>
      </c>
    </row>
    <row r="28" spans="1:17" x14ac:dyDescent="0.25">
      <c r="A28" s="2" t="s">
        <v>26</v>
      </c>
      <c r="B28">
        <v>374</v>
      </c>
    </row>
    <row r="29" spans="1:17" x14ac:dyDescent="0.25">
      <c r="A29" s="2" t="s">
        <v>53</v>
      </c>
      <c r="B29">
        <v>288</v>
      </c>
    </row>
    <row r="30" spans="1:17" x14ac:dyDescent="0.25">
      <c r="A30" s="2" t="s">
        <v>38</v>
      </c>
      <c r="B30">
        <v>450</v>
      </c>
    </row>
    <row r="31" spans="1:17" x14ac:dyDescent="0.25">
      <c r="A31" s="2" t="s">
        <v>31</v>
      </c>
      <c r="B31">
        <v>37</v>
      </c>
    </row>
    <row r="32" spans="1:17" x14ac:dyDescent="0.25">
      <c r="A32" s="2" t="s">
        <v>51</v>
      </c>
      <c r="B32">
        <v>370</v>
      </c>
      <c r="P32" s="1" t="s">
        <v>60</v>
      </c>
      <c r="Q32" t="s">
        <v>62</v>
      </c>
    </row>
    <row r="33" spans="1:17" x14ac:dyDescent="0.25">
      <c r="A33" s="2" t="s">
        <v>57</v>
      </c>
      <c r="B33">
        <v>29</v>
      </c>
      <c r="P33" s="2" t="s">
        <v>51</v>
      </c>
      <c r="Q33" s="11">
        <v>253644</v>
      </c>
    </row>
    <row r="34" spans="1:17" x14ac:dyDescent="0.25">
      <c r="A34" s="2" t="s">
        <v>30</v>
      </c>
      <c r="B34">
        <v>223</v>
      </c>
      <c r="C34">
        <f>GETPIVOTDATA("Units Sold (Millions)",$A$17)</f>
        <v>3995</v>
      </c>
      <c r="P34" s="2" t="s">
        <v>38</v>
      </c>
      <c r="Q34" s="11">
        <v>251781</v>
      </c>
    </row>
    <row r="35" spans="1:17" x14ac:dyDescent="0.25">
      <c r="A35" s="2" t="s">
        <v>59</v>
      </c>
      <c r="B35">
        <v>111</v>
      </c>
      <c r="P35" s="2" t="s">
        <v>26</v>
      </c>
      <c r="Q35" s="11">
        <v>234614</v>
      </c>
    </row>
    <row r="36" spans="1:17" x14ac:dyDescent="0.25">
      <c r="A36" s="2" t="s">
        <v>61</v>
      </c>
      <c r="B36">
        <v>3995</v>
      </c>
      <c r="P36" s="2" t="s">
        <v>53</v>
      </c>
      <c r="Q36" s="11">
        <v>231789</v>
      </c>
    </row>
    <row r="37" spans="1:17" ht="15.75" x14ac:dyDescent="0.25">
      <c r="A37" s="3" t="s">
        <v>66</v>
      </c>
      <c r="P37" s="2" t="s">
        <v>55</v>
      </c>
      <c r="Q37" s="11">
        <v>222448</v>
      </c>
    </row>
    <row r="38" spans="1:17" x14ac:dyDescent="0.25">
      <c r="A38" s="1" t="s">
        <v>60</v>
      </c>
      <c r="B38" t="s">
        <v>62</v>
      </c>
      <c r="P38" s="2" t="s">
        <v>44</v>
      </c>
      <c r="Q38" s="11">
        <v>219094</v>
      </c>
    </row>
    <row r="39" spans="1:17" x14ac:dyDescent="0.25">
      <c r="A39" s="2">
        <v>2020</v>
      </c>
      <c r="B39">
        <v>337475</v>
      </c>
      <c r="P39" s="2" t="s">
        <v>45</v>
      </c>
      <c r="Q39" s="11">
        <v>201789</v>
      </c>
    </row>
    <row r="40" spans="1:17" x14ac:dyDescent="0.25">
      <c r="A40" s="2">
        <v>2021</v>
      </c>
      <c r="B40">
        <v>429385</v>
      </c>
      <c r="P40" s="2" t="s">
        <v>30</v>
      </c>
      <c r="Q40" s="11">
        <v>194726</v>
      </c>
    </row>
    <row r="41" spans="1:17" x14ac:dyDescent="0.25">
      <c r="A41" s="2">
        <v>2022</v>
      </c>
      <c r="B41">
        <v>534013</v>
      </c>
      <c r="P41" s="2" t="s">
        <v>16</v>
      </c>
      <c r="Q41" s="11">
        <v>188303</v>
      </c>
    </row>
    <row r="42" spans="1:17" x14ac:dyDescent="0.25">
      <c r="A42" s="2">
        <v>2023</v>
      </c>
      <c r="B42">
        <v>396535</v>
      </c>
      <c r="P42" s="2" t="s">
        <v>48</v>
      </c>
      <c r="Q42" s="11">
        <v>162966</v>
      </c>
    </row>
    <row r="43" spans="1:17" x14ac:dyDescent="0.25">
      <c r="A43" s="2">
        <v>2024</v>
      </c>
      <c r="B43">
        <v>539827</v>
      </c>
      <c r="P43" s="2" t="s">
        <v>42</v>
      </c>
      <c r="Q43" s="11">
        <v>148242</v>
      </c>
    </row>
    <row r="44" spans="1:17" x14ac:dyDescent="0.25">
      <c r="A44" s="2">
        <v>2025</v>
      </c>
      <c r="B44">
        <v>582422</v>
      </c>
      <c r="P44" s="2" t="s">
        <v>46</v>
      </c>
      <c r="Q44" s="11">
        <v>121877</v>
      </c>
    </row>
    <row r="45" spans="1:17" x14ac:dyDescent="0.25">
      <c r="A45" s="2" t="s">
        <v>61</v>
      </c>
      <c r="B45">
        <v>2819657</v>
      </c>
      <c r="P45" s="2" t="s">
        <v>49</v>
      </c>
      <c r="Q45" s="11">
        <v>113358</v>
      </c>
    </row>
    <row r="46" spans="1:17" x14ac:dyDescent="0.25">
      <c r="B46" s="7">
        <f>GETPIVOTDATA("Revenue ($M)",$A$38)</f>
        <v>2819657</v>
      </c>
      <c r="P46" s="2" t="s">
        <v>59</v>
      </c>
      <c r="Q46" s="11">
        <v>94677</v>
      </c>
    </row>
    <row r="47" spans="1:17" x14ac:dyDescent="0.25">
      <c r="P47" s="2" t="s">
        <v>35</v>
      </c>
      <c r="Q47" s="11">
        <v>64548</v>
      </c>
    </row>
    <row r="48" spans="1:17" x14ac:dyDescent="0.25">
      <c r="P48" s="2" t="s">
        <v>54</v>
      </c>
      <c r="Q48" s="11">
        <v>62925</v>
      </c>
    </row>
    <row r="49" spans="1:18" x14ac:dyDescent="0.25">
      <c r="P49" s="2" t="s">
        <v>31</v>
      </c>
      <c r="Q49" s="11">
        <v>30599</v>
      </c>
    </row>
    <row r="50" spans="1:18" ht="15.75" x14ac:dyDescent="0.25">
      <c r="A50" s="3" t="s">
        <v>68</v>
      </c>
      <c r="C50" s="7"/>
      <c r="L50" s="6" t="s">
        <v>72</v>
      </c>
      <c r="P50" s="2" t="s">
        <v>57</v>
      </c>
      <c r="Q50" s="11">
        <v>22277</v>
      </c>
    </row>
    <row r="51" spans="1:18" x14ac:dyDescent="0.25">
      <c r="P51" s="2" t="s">
        <v>61</v>
      </c>
      <c r="Q51" s="11">
        <v>2819657</v>
      </c>
    </row>
    <row r="52" spans="1:18" x14ac:dyDescent="0.25">
      <c r="A52" s="1" t="s">
        <v>60</v>
      </c>
      <c r="B52" t="s">
        <v>78</v>
      </c>
      <c r="L52" s="1" t="s">
        <v>60</v>
      </c>
      <c r="M52" t="s">
        <v>71</v>
      </c>
    </row>
    <row r="53" spans="1:18" x14ac:dyDescent="0.25">
      <c r="A53" s="2" t="s">
        <v>58</v>
      </c>
      <c r="B53">
        <v>871</v>
      </c>
      <c r="L53" s="2" t="s">
        <v>21</v>
      </c>
      <c r="M53">
        <v>42</v>
      </c>
    </row>
    <row r="54" spans="1:18" x14ac:dyDescent="0.25">
      <c r="A54" s="2" t="s">
        <v>22</v>
      </c>
      <c r="B54">
        <v>600</v>
      </c>
      <c r="L54" s="2" t="s">
        <v>25</v>
      </c>
      <c r="M54">
        <v>48</v>
      </c>
      <c r="R54" t="s">
        <v>82</v>
      </c>
    </row>
    <row r="55" spans="1:18" x14ac:dyDescent="0.25">
      <c r="A55" s="2" t="s">
        <v>32</v>
      </c>
      <c r="B55">
        <v>528.42857142857144</v>
      </c>
      <c r="L55" s="2" t="s">
        <v>61</v>
      </c>
      <c r="M55">
        <v>90</v>
      </c>
      <c r="R55">
        <v>15.933333333333334</v>
      </c>
    </row>
    <row r="56" spans="1:18" x14ac:dyDescent="0.25">
      <c r="A56" s="2" t="s">
        <v>50</v>
      </c>
      <c r="B56">
        <v>525.79999999999995</v>
      </c>
      <c r="R56" s="4">
        <f>GETPIVOTDATA("Discount (%)",$R$54)</f>
        <v>15.933333333333334</v>
      </c>
    </row>
    <row r="57" spans="1:18" x14ac:dyDescent="0.25">
      <c r="A57" s="2" t="s">
        <v>39</v>
      </c>
      <c r="B57">
        <v>673.28571428571433</v>
      </c>
    </row>
    <row r="58" spans="1:18" x14ac:dyDescent="0.25">
      <c r="A58" s="2" t="s">
        <v>47</v>
      </c>
      <c r="B58">
        <v>731.875</v>
      </c>
    </row>
    <row r="59" spans="1:18" x14ac:dyDescent="0.25">
      <c r="A59" s="2" t="s">
        <v>36</v>
      </c>
      <c r="B59">
        <v>701</v>
      </c>
    </row>
    <row r="60" spans="1:18" x14ac:dyDescent="0.25">
      <c r="A60" s="2" t="s">
        <v>27</v>
      </c>
      <c r="B60">
        <v>787.875</v>
      </c>
    </row>
    <row r="61" spans="1:18" x14ac:dyDescent="0.25">
      <c r="A61" s="2" t="s">
        <v>17</v>
      </c>
      <c r="B61">
        <v>707.9</v>
      </c>
    </row>
    <row r="62" spans="1:18" x14ac:dyDescent="0.25">
      <c r="A62" s="2" t="s">
        <v>56</v>
      </c>
      <c r="B62">
        <v>813.6</v>
      </c>
    </row>
    <row r="63" spans="1:18" x14ac:dyDescent="0.25">
      <c r="A63" s="2" t="s">
        <v>61</v>
      </c>
      <c r="B63">
        <v>686.44444444444446</v>
      </c>
    </row>
    <row r="64" spans="1:18" x14ac:dyDescent="0.25">
      <c r="B64" s="7">
        <f>GETPIVOTDATA("Price ($)",$A$52)</f>
        <v>686.44444444444446</v>
      </c>
    </row>
    <row r="66" spans="1:13" x14ac:dyDescent="0.25">
      <c r="A66" s="6" t="s">
        <v>70</v>
      </c>
    </row>
    <row r="67" spans="1:13" x14ac:dyDescent="0.25">
      <c r="A67" s="1" t="s">
        <v>60</v>
      </c>
      <c r="B67" t="s">
        <v>69</v>
      </c>
    </row>
    <row r="68" spans="1:13" x14ac:dyDescent="0.25">
      <c r="A68" s="2" t="s">
        <v>58</v>
      </c>
      <c r="B68" s="4">
        <v>4.5166666666666666</v>
      </c>
    </row>
    <row r="69" spans="1:13" x14ac:dyDescent="0.25">
      <c r="A69" s="2" t="s">
        <v>22</v>
      </c>
      <c r="B69" s="4">
        <v>4.1307692307692312</v>
      </c>
      <c r="L69" s="6" t="s">
        <v>77</v>
      </c>
    </row>
    <row r="70" spans="1:13" x14ac:dyDescent="0.25">
      <c r="A70" s="2" t="s">
        <v>32</v>
      </c>
      <c r="B70" s="4">
        <v>4.4142857142857146</v>
      </c>
    </row>
    <row r="71" spans="1:13" ht="15.75" x14ac:dyDescent="0.25">
      <c r="A71" s="2" t="s">
        <v>50</v>
      </c>
      <c r="B71" s="4">
        <v>4.1500000000000004</v>
      </c>
      <c r="M71" s="5"/>
    </row>
    <row r="72" spans="1:13" x14ac:dyDescent="0.25">
      <c r="A72" s="2" t="s">
        <v>39</v>
      </c>
      <c r="B72" s="4">
        <v>4.5428571428571427</v>
      </c>
      <c r="L72" s="1" t="s">
        <v>60</v>
      </c>
      <c r="M72" t="s">
        <v>73</v>
      </c>
    </row>
    <row r="73" spans="1:13" x14ac:dyDescent="0.25">
      <c r="A73" s="2" t="s">
        <v>47</v>
      </c>
      <c r="B73" s="4">
        <v>4.1124999999999998</v>
      </c>
      <c r="L73" s="2" t="s">
        <v>24</v>
      </c>
      <c r="M73">
        <v>4587</v>
      </c>
    </row>
    <row r="74" spans="1:13" x14ac:dyDescent="0.25">
      <c r="A74" s="2" t="s">
        <v>36</v>
      </c>
      <c r="B74" s="4">
        <v>4.1272727272727279</v>
      </c>
      <c r="L74" s="2" t="s">
        <v>19</v>
      </c>
      <c r="M74" s="10">
        <v>4412.0571428571429</v>
      </c>
    </row>
    <row r="75" spans="1:13" x14ac:dyDescent="0.25">
      <c r="A75" s="2" t="s">
        <v>27</v>
      </c>
      <c r="B75" s="4">
        <v>4.2874999999999996</v>
      </c>
      <c r="L75" s="2" t="s">
        <v>33</v>
      </c>
      <c r="M75" s="10">
        <v>4532.695652173913</v>
      </c>
    </row>
    <row r="76" spans="1:13" x14ac:dyDescent="0.25">
      <c r="A76" s="2" t="s">
        <v>17</v>
      </c>
      <c r="B76" s="4">
        <v>4.2</v>
      </c>
      <c r="L76" s="2" t="s">
        <v>61</v>
      </c>
      <c r="M76" s="10">
        <v>4505.0888888888885</v>
      </c>
    </row>
    <row r="77" spans="1:13" x14ac:dyDescent="0.25">
      <c r="A77" s="2" t="s">
        <v>56</v>
      </c>
      <c r="B77" s="4">
        <v>3.9199999999999995</v>
      </c>
      <c r="M77">
        <f>GETPIVOTDATA("Battery (mAh)",$L$72)</f>
        <v>4505.0888888888885</v>
      </c>
    </row>
    <row r="78" spans="1:13" x14ac:dyDescent="0.25">
      <c r="A78" s="2" t="s">
        <v>61</v>
      </c>
      <c r="B78">
        <v>4.2088888888888905</v>
      </c>
    </row>
    <row r="79" spans="1:13" x14ac:dyDescent="0.25">
      <c r="B79" s="7">
        <f>GETPIVOTDATA("Rating",$A$67)</f>
        <v>4.2088888888888905</v>
      </c>
    </row>
    <row r="98" spans="1:2" x14ac:dyDescent="0.25">
      <c r="A98" t="s">
        <v>80</v>
      </c>
    </row>
    <row r="100" spans="1:2" x14ac:dyDescent="0.25">
      <c r="A100" s="1" t="s">
        <v>60</v>
      </c>
      <c r="B100" t="s">
        <v>79</v>
      </c>
    </row>
    <row r="101" spans="1:2" x14ac:dyDescent="0.25">
      <c r="A101" s="2" t="s">
        <v>24</v>
      </c>
      <c r="B101" s="4">
        <v>719.40625</v>
      </c>
    </row>
    <row r="102" spans="1:2" x14ac:dyDescent="0.25">
      <c r="A102" s="2" t="s">
        <v>19</v>
      </c>
      <c r="B102" s="4">
        <v>651.05714285714282</v>
      </c>
    </row>
    <row r="103" spans="1:2" x14ac:dyDescent="0.25">
      <c r="A103" s="2" t="s">
        <v>33</v>
      </c>
      <c r="B103" s="4">
        <v>694.43478260869563</v>
      </c>
    </row>
    <row r="114" spans="1:2" x14ac:dyDescent="0.25">
      <c r="B114" t="s">
        <v>81</v>
      </c>
    </row>
    <row r="116" spans="1:2" x14ac:dyDescent="0.25">
      <c r="A116" s="1" t="s">
        <v>60</v>
      </c>
      <c r="B116" t="s">
        <v>69</v>
      </c>
    </row>
    <row r="117" spans="1:2" x14ac:dyDescent="0.25">
      <c r="A117" s="2" t="s">
        <v>24</v>
      </c>
      <c r="B117" s="7">
        <v>4.2374999999999998</v>
      </c>
    </row>
    <row r="118" spans="1:2" x14ac:dyDescent="0.25">
      <c r="A118" s="2" t="s">
        <v>19</v>
      </c>
      <c r="B118" s="7">
        <v>4.2457142857142873</v>
      </c>
    </row>
    <row r="119" spans="1:2" x14ac:dyDescent="0.25">
      <c r="A119" s="2" t="s">
        <v>33</v>
      </c>
      <c r="B119" s="7">
        <v>4.1130434782608702</v>
      </c>
    </row>
    <row r="120" spans="1:2" x14ac:dyDescent="0.25">
      <c r="A120" s="2" t="s">
        <v>61</v>
      </c>
      <c r="B120" s="7">
        <v>4.2088888888888896</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 Dashboard</vt:lpstr>
      <vt:lpstr>Product Insights</vt:lpstr>
      <vt:lpstr>Mobile Data</vt:lpstr>
      <vt:lpstr>Pivot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cp:lastPrinted>2026-04-13T08:59:36Z</cp:lastPrinted>
  <dcterms:created xsi:type="dcterms:W3CDTF">2026-03-27T05:47:29Z</dcterms:created>
  <dcterms:modified xsi:type="dcterms:W3CDTF">2026-04-13T09:05:13Z</dcterms:modified>
</cp:coreProperties>
</file>